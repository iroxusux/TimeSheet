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ersonal\VisualStudioProjects\TimeSheet\TimeSheet\"/>
    </mc:Choice>
  </mc:AlternateContent>
  <xr:revisionPtr revIDLastSave="0" documentId="13_ncr:1_{C6581D52-195D-4524-B157-E95051DDE9BE}" xr6:coauthVersionLast="47" xr6:coauthVersionMax="47" xr10:uidLastSave="{00000000-0000-0000-0000-000000000000}"/>
  <bookViews>
    <workbookView xWindow="-28920" yWindow="3495" windowWidth="29040" windowHeight="15720" xr2:uid="{00000000-000D-0000-FFFF-FFFF00000000}"/>
  </bookViews>
  <sheets>
    <sheet name="21-11-21" sheetId="14" r:id="rId1"/>
    <sheet name="Sheet1" sheetId="15" r:id="rId2"/>
  </sheets>
  <definedNames>
    <definedName name="EnterSubCodes">Sheet1!#REF!</definedName>
    <definedName name="_xlnm.Print_Area" localSheetId="0">'21-11-21'!$A$1:$Q$58</definedName>
    <definedName name="SubCodeEntry">Sheet1!$A$1:$A$14</definedName>
    <definedName name="SubCodes">Sheet1!#REF!</definedName>
    <definedName name="ValidCodes">Sheet1!#REF!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4" i="14" l="1"/>
  <c r="R8" i="14" l="1"/>
  <c r="N23" i="14" l="1"/>
  <c r="N22" i="14"/>
  <c r="M23" i="14"/>
  <c r="M22" i="14"/>
  <c r="L23" i="14"/>
  <c r="L22" i="14"/>
  <c r="K23" i="14"/>
  <c r="K22" i="14"/>
  <c r="J23" i="14"/>
  <c r="J22" i="14"/>
  <c r="I23" i="14"/>
  <c r="I22" i="14"/>
  <c r="H23" i="14"/>
  <c r="H22" i="14"/>
  <c r="O20" i="14" l="1"/>
  <c r="O21" i="14"/>
  <c r="O36" i="14" l="1"/>
  <c r="P36" i="14" s="1"/>
  <c r="O35" i="14"/>
  <c r="P35" i="14" s="1"/>
  <c r="O34" i="14"/>
  <c r="P34" i="14" s="1"/>
  <c r="O33" i="14"/>
  <c r="P33" i="14" s="1"/>
  <c r="O32" i="14"/>
  <c r="P32" i="14" s="1"/>
  <c r="O31" i="14"/>
  <c r="P31" i="14" s="1"/>
  <c r="O30" i="14"/>
  <c r="P30" i="14" s="1"/>
  <c r="O29" i="14"/>
  <c r="P29" i="14" s="1"/>
  <c r="N37" i="14"/>
  <c r="N38" i="14" s="1"/>
  <c r="M37" i="14"/>
  <c r="M38" i="14" s="1"/>
  <c r="L37" i="14"/>
  <c r="L38" i="14" s="1"/>
  <c r="K37" i="14"/>
  <c r="K38" i="14" s="1"/>
  <c r="J37" i="14"/>
  <c r="J38" i="14" s="1"/>
  <c r="I37" i="14"/>
  <c r="I38" i="14" s="1"/>
  <c r="H37" i="14"/>
  <c r="H38" i="14" s="1"/>
  <c r="N27" i="14"/>
  <c r="M27" i="14" s="1"/>
  <c r="L27" i="14" s="1"/>
  <c r="K27" i="14" s="1"/>
  <c r="J27" i="14" s="1"/>
  <c r="I27" i="14" s="1"/>
  <c r="H27" i="14" s="1"/>
  <c r="M4" i="14"/>
  <c r="L4" i="14" s="1"/>
  <c r="K4" i="14" s="1"/>
  <c r="J4" i="14" s="1"/>
  <c r="I4" i="14" s="1"/>
  <c r="H4" i="14" s="1"/>
  <c r="O8" i="14"/>
  <c r="O9" i="14"/>
  <c r="O10" i="14"/>
  <c r="O11" i="14"/>
  <c r="O12" i="14"/>
  <c r="O13" i="14"/>
  <c r="O14" i="14"/>
  <c r="O15" i="14"/>
  <c r="O16" i="14"/>
  <c r="O17" i="14"/>
  <c r="O18" i="14"/>
  <c r="O19" i="14"/>
  <c r="O22" i="14" l="1"/>
  <c r="O23" i="14"/>
  <c r="O37" i="14"/>
  <c r="P38" i="14"/>
</calcChain>
</file>

<file path=xl/sharedStrings.xml><?xml version="1.0" encoding="utf-8"?>
<sst xmlns="http://schemas.openxmlformats.org/spreadsheetml/2006/main" count="89" uniqueCount="62">
  <si>
    <t>Last</t>
  </si>
  <si>
    <t>First</t>
  </si>
  <si>
    <t>Week Ending</t>
  </si>
  <si>
    <t>MON</t>
  </si>
  <si>
    <t>TUES</t>
  </si>
  <si>
    <t>WED</t>
  </si>
  <si>
    <t>THUR</t>
  </si>
  <si>
    <t>FRI</t>
  </si>
  <si>
    <t>SAT</t>
  </si>
  <si>
    <t>SUN</t>
  </si>
  <si>
    <t>TOTAL</t>
  </si>
  <si>
    <t>Job Number</t>
  </si>
  <si>
    <t>Sub-Code</t>
  </si>
  <si>
    <t>ST</t>
  </si>
  <si>
    <t>OT</t>
  </si>
  <si>
    <t>Total ST</t>
  </si>
  <si>
    <t>Total OT</t>
  </si>
  <si>
    <t>MILEAGE</t>
  </si>
  <si>
    <t>From:</t>
  </si>
  <si>
    <t>To:</t>
  </si>
  <si>
    <t>Total Mileage</t>
  </si>
  <si>
    <t>Mileage Amount</t>
  </si>
  <si>
    <t>Suffix</t>
  </si>
  <si>
    <t>Employee Signature</t>
  </si>
  <si>
    <t>Approved by</t>
  </si>
  <si>
    <t>MILES</t>
  </si>
  <si>
    <t>COST</t>
  </si>
  <si>
    <t>Employee Number</t>
  </si>
  <si>
    <t>JOB CODES</t>
  </si>
  <si>
    <t>PROJECT MGMT LABOR</t>
  </si>
  <si>
    <t>1110</t>
  </si>
  <si>
    <t>HARDWARE LABOR</t>
  </si>
  <si>
    <t>1210</t>
  </si>
  <si>
    <t>START-UP LABOR</t>
  </si>
  <si>
    <t>STAND BY LABOR</t>
  </si>
  <si>
    <t>SOFTWARE LABOR</t>
  </si>
  <si>
    <t>1510</t>
  </si>
  <si>
    <t>CAD DESIGN LABOR</t>
  </si>
  <si>
    <t>1610</t>
  </si>
  <si>
    <t>CAD AS-BUILTS LABOR</t>
  </si>
  <si>
    <t>1710</t>
  </si>
  <si>
    <t>1810</t>
  </si>
  <si>
    <t>TRAVEL LABOR</t>
  </si>
  <si>
    <t>APPROVALS</t>
  </si>
  <si>
    <t>1310</t>
  </si>
  <si>
    <t>1410</t>
  </si>
  <si>
    <t>Description</t>
  </si>
  <si>
    <t>DOCS / MANUALS LABOR</t>
  </si>
  <si>
    <t>WEEKLY TIME SHEET</t>
  </si>
  <si>
    <t>Out of Town</t>
  </si>
  <si>
    <t>SHOP LABOR</t>
  </si>
  <si>
    <t>Hol</t>
  </si>
  <si>
    <t>Vac</t>
  </si>
  <si>
    <t>OVERHEAD</t>
  </si>
  <si>
    <t>VACATION</t>
  </si>
  <si>
    <t>HOLIDAY</t>
  </si>
  <si>
    <t>COVID 19</t>
  </si>
  <si>
    <t>Night Shift</t>
  </si>
  <si>
    <t>Add company prefix "IC"</t>
  </si>
  <si>
    <t>Add "X"</t>
  </si>
  <si>
    <t>v5.0.5</t>
  </si>
  <si>
    <r>
      <rPr>
        <b/>
        <sz val="10"/>
        <color rgb="FFFF0000"/>
        <rFont val="Symbol"/>
        <family val="1"/>
        <charset val="2"/>
      </rPr>
      <t xml:space="preserve"> ·  </t>
    </r>
    <r>
      <rPr>
        <b/>
        <sz val="10"/>
        <rFont val="Arial"/>
        <family val="2"/>
      </rPr>
      <t>INDICATE WITH "X" IF OUT OF TOWN OR ON NIGHT SHIFT IN THE APPROPRIATE COLUMN</t>
    </r>
    <r>
      <rPr>
        <b/>
        <sz val="10"/>
        <color rgb="FFFF0000"/>
        <rFont val="Symbol"/>
        <family val="1"/>
        <charset val="2"/>
      </rPr>
      <t xml:space="preserve">
 ·  </t>
    </r>
    <r>
      <rPr>
        <b/>
        <sz val="10"/>
        <rFont val="Arial"/>
        <family val="2"/>
      </rPr>
      <t>DELETE UNUSED JOB NUMBERS</t>
    </r>
    <r>
      <rPr>
        <b/>
        <sz val="10"/>
        <color rgb="FFFF0000"/>
        <rFont val="Symbol"/>
        <family val="1"/>
        <charset val="2"/>
      </rPr>
      <t xml:space="preserve">
 ·  </t>
    </r>
    <r>
      <rPr>
        <b/>
        <sz val="10"/>
        <rFont val="Arial"/>
        <family val="2"/>
      </rPr>
      <t>USE JOB NUMBER 301 FOR OVERHEAD, VACATION, AND HOLIDAY</t>
    </r>
    <r>
      <rPr>
        <b/>
        <sz val="10"/>
        <color rgb="FFFF0000"/>
        <rFont val="Symbol"/>
        <family val="1"/>
        <charset val="2"/>
      </rPr>
      <t xml:space="preserve">
 ·  </t>
    </r>
    <r>
      <rPr>
        <b/>
        <sz val="10"/>
        <rFont val="Arial"/>
        <family val="2"/>
      </rPr>
      <t>YOUR TIMESHEET MUST BE TURNED IN BY 8:00 AM; OTHERWISE, YOU WILL BE PAID FOR 40 HRS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</si>
</sst>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"/>
    <numFmt numFmtId="165" formatCode="&quot;$&quot;#,##0.00"/>
  </numFmts>
  <fonts count="22">
    <font>
      <sz val="10"/>
      <name val="Arial"/>
    </font>
    <font>
      <u/>
      <sz val="10"/>
      <color indexed="12"/>
      <name val="Arial"/>
      <family val="2"/>
    </font>
    <font>
      <sz val="16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sz val="16"/>
      <name val="Arial"/>
      <family val="2"/>
    </font>
    <font>
      <sz val="20"/>
      <name val="Arial"/>
      <family val="2"/>
    </font>
    <font>
      <sz val="14"/>
      <name val="Arial"/>
      <family val="2"/>
    </font>
    <font>
      <sz val="7"/>
      <name val="Arial"/>
      <family val="2"/>
    </font>
    <font>
      <b/>
      <sz val="14"/>
      <name val="Arial"/>
      <family val="2"/>
    </font>
    <font>
      <b/>
      <sz val="14"/>
      <color rgb="FFFF0000"/>
      <name val="Arial"/>
      <family val="2"/>
    </font>
    <font>
      <sz val="24"/>
      <name val="Script MT Bold"/>
      <family val="4"/>
    </font>
    <font>
      <sz val="48"/>
      <name val="CommercialScript BT"/>
      <family val="4"/>
    </font>
    <font>
      <sz val="10"/>
      <name val="Arial"/>
      <family val="1"/>
      <charset val="2"/>
    </font>
    <font>
      <b/>
      <sz val="10"/>
      <name val="Arial"/>
      <family val="2"/>
    </font>
    <font>
      <b/>
      <sz val="10"/>
      <color rgb="FFFF0000"/>
      <name val="Symbol"/>
      <family val="1"/>
      <charset val="2"/>
    </font>
    <font>
      <b/>
      <sz val="10"/>
      <name val="Arial"/>
      <family val="1"/>
      <charset val="2"/>
    </font>
    <font>
      <sz val="12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/>
        <bgColor theme="2" tint="-9.9948118533890809E-2"/>
      </patternFill>
    </fill>
    <fill>
      <patternFill patternType="solid">
        <fgColor rgb="FFFF0000"/>
        <bgColor indexed="64"/>
      </patternFill>
    </fill>
  </fills>
  <borders count="2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62">
    <xf numFmtId="0" fontId="0" fillId="0" borderId="0" xfId="0"/>
    <xf numFmtId="0" fontId="2" fillId="0" borderId="0" xfId="0" applyFont="1"/>
    <xf numFmtId="0" fontId="4" fillId="0" borderId="0" xfId="0" applyFont="1" applyAlignment="1" applyProtection="1">
      <alignment vertical="center"/>
      <protection hidden="1"/>
    </xf>
    <xf numFmtId="0" fontId="5" fillId="0" borderId="19" xfId="0" applyFont="1" applyBorder="1" applyAlignment="1" applyProtection="1">
      <alignment horizontal="centerContinuous" vertical="center"/>
      <protection hidden="1"/>
    </xf>
    <xf numFmtId="0" fontId="4" fillId="0" borderId="19" xfId="0" applyFont="1" applyBorder="1" applyAlignment="1" applyProtection="1">
      <alignment horizontal="centerContinuous" vertical="center"/>
      <protection hidden="1"/>
    </xf>
    <xf numFmtId="0" fontId="6" fillId="0" borderId="19" xfId="0" applyFont="1" applyBorder="1" applyAlignment="1" applyProtection="1">
      <alignment horizontal="left" vertical="center"/>
      <protection hidden="1"/>
    </xf>
    <xf numFmtId="0" fontId="7" fillId="0" borderId="19" xfId="0" applyFont="1" applyBorder="1" applyAlignment="1" applyProtection="1">
      <alignment vertical="center"/>
      <protection hidden="1"/>
    </xf>
    <xf numFmtId="0" fontId="7" fillId="0" borderId="19" xfId="0" applyFont="1" applyBorder="1" applyAlignment="1" applyProtection="1">
      <alignment horizontal="right" vertical="center"/>
      <protection hidden="1"/>
    </xf>
    <xf numFmtId="0" fontId="8" fillId="0" borderId="19" xfId="0" applyFont="1" applyBorder="1" applyAlignment="1" applyProtection="1">
      <alignment horizontal="right" vertical="center"/>
      <protection hidden="1"/>
    </xf>
    <xf numFmtId="0" fontId="7" fillId="0" borderId="0" xfId="0" applyFont="1" applyAlignment="1" applyProtection="1">
      <alignment horizontal="center" vertical="center"/>
      <protection hidden="1"/>
    </xf>
    <xf numFmtId="0" fontId="7" fillId="0" borderId="0" xfId="0" applyFont="1" applyAlignment="1" applyProtection="1">
      <alignment vertical="center"/>
      <protection hidden="1"/>
    </xf>
    <xf numFmtId="0" fontId="5" fillId="0" borderId="9" xfId="0" applyFont="1" applyBorder="1" applyAlignment="1" applyProtection="1">
      <alignment vertical="center"/>
      <protection hidden="1"/>
    </xf>
    <xf numFmtId="0" fontId="5" fillId="0" borderId="0" xfId="0" applyFont="1" applyBorder="1" applyAlignment="1" applyProtection="1">
      <alignment vertical="center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vertical="center"/>
      <protection hidden="1"/>
    </xf>
    <xf numFmtId="0" fontId="4" fillId="0" borderId="7" xfId="0" applyFont="1" applyBorder="1" applyAlignment="1" applyProtection="1">
      <alignment vertical="center"/>
      <protection hidden="1"/>
    </xf>
    <xf numFmtId="164" fontId="4" fillId="0" borderId="3" xfId="0" applyNumberFormat="1" applyFont="1" applyBorder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vertical="center"/>
      <protection hidden="1"/>
    </xf>
    <xf numFmtId="0" fontId="5" fillId="0" borderId="4" xfId="0" applyFont="1" applyBorder="1" applyAlignment="1" applyProtection="1">
      <alignment horizontal="center" vertical="center"/>
      <protection hidden="1"/>
    </xf>
    <xf numFmtId="0" fontId="4" fillId="0" borderId="16" xfId="0" applyFont="1" applyBorder="1" applyAlignment="1" applyProtection="1">
      <alignment horizontal="center" vertical="center"/>
      <protection hidden="1"/>
    </xf>
    <xf numFmtId="0" fontId="4" fillId="0" borderId="2" xfId="0" applyFont="1" applyBorder="1" applyAlignment="1" applyProtection="1">
      <alignment horizontal="center" vertical="center"/>
      <protection hidden="1"/>
    </xf>
    <xf numFmtId="49" fontId="7" fillId="0" borderId="0" xfId="0" applyNumberFormat="1" applyFont="1" applyBorder="1" applyAlignment="1" applyProtection="1">
      <alignment horizontal="center" vertical="center"/>
      <protection hidden="1"/>
    </xf>
    <xf numFmtId="0" fontId="4" fillId="0" borderId="23" xfId="0" applyFont="1" applyBorder="1" applyAlignment="1" applyProtection="1">
      <alignment horizontal="center" vertical="center"/>
      <protection hidden="1"/>
    </xf>
    <xf numFmtId="0" fontId="5" fillId="0" borderId="3" xfId="0" applyFont="1" applyFill="1" applyBorder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vertical="center"/>
      <protection hidden="1"/>
    </xf>
    <xf numFmtId="49" fontId="11" fillId="0" borderId="0" xfId="0" applyNumberFormat="1" applyFont="1" applyBorder="1" applyAlignment="1" applyProtection="1">
      <alignment horizontal="center" vertical="center"/>
      <protection hidden="1"/>
    </xf>
    <xf numFmtId="0" fontId="11" fillId="0" borderId="0" xfId="0" applyFont="1" applyBorder="1" applyAlignment="1" applyProtection="1">
      <alignment vertical="center"/>
      <protection hidden="1"/>
    </xf>
    <xf numFmtId="0" fontId="5" fillId="0" borderId="22" xfId="0" applyFont="1" applyFill="1" applyBorder="1" applyAlignment="1" applyProtection="1">
      <alignment horizontal="center" vertical="center"/>
      <protection locked="0"/>
    </xf>
    <xf numFmtId="0" fontId="4" fillId="0" borderId="12" xfId="0" applyFont="1" applyBorder="1" applyAlignment="1" applyProtection="1">
      <alignment vertical="center"/>
      <protection hidden="1"/>
    </xf>
    <xf numFmtId="0" fontId="4" fillId="0" borderId="13" xfId="0" applyFont="1" applyBorder="1" applyAlignment="1" applyProtection="1">
      <alignment vertical="center"/>
      <protection hidden="1"/>
    </xf>
    <xf numFmtId="0" fontId="5" fillId="0" borderId="13" xfId="0" applyFont="1" applyBorder="1" applyAlignment="1" applyProtection="1">
      <alignment horizontal="right" vertical="center"/>
      <protection hidden="1"/>
    </xf>
    <xf numFmtId="0" fontId="5" fillId="0" borderId="14" xfId="0" applyFont="1" applyBorder="1" applyAlignment="1" applyProtection="1">
      <alignment horizontal="right" vertical="center"/>
      <protection hidden="1"/>
    </xf>
    <xf numFmtId="0" fontId="5" fillId="0" borderId="11" xfId="0" applyFont="1" applyFill="1" applyBorder="1" applyAlignment="1" applyProtection="1">
      <alignment horizontal="center" vertical="center"/>
      <protection hidden="1"/>
    </xf>
    <xf numFmtId="49" fontId="12" fillId="0" borderId="0" xfId="0" applyNumberFormat="1" applyFont="1" applyBorder="1" applyAlignment="1" applyProtection="1">
      <alignment vertical="center"/>
      <protection hidden="1"/>
    </xf>
    <xf numFmtId="0" fontId="7" fillId="0" borderId="0" xfId="0" applyFont="1" applyFill="1" applyBorder="1" applyAlignment="1" applyProtection="1">
      <alignment vertical="center"/>
      <protection hidden="1"/>
    </xf>
    <xf numFmtId="49" fontId="7" fillId="0" borderId="0" xfId="0" applyNumberFormat="1" applyFont="1" applyFill="1" applyBorder="1" applyAlignment="1" applyProtection="1">
      <alignment vertical="center"/>
      <protection hidden="1"/>
    </xf>
    <xf numFmtId="0" fontId="13" fillId="0" borderId="0" xfId="0" applyFont="1" applyFill="1" applyBorder="1" applyAlignment="1" applyProtection="1">
      <alignment horizontal="center" vertical="center"/>
      <protection hidden="1"/>
    </xf>
    <xf numFmtId="0" fontId="13" fillId="3" borderId="11" xfId="0" applyFont="1" applyFill="1" applyBorder="1" applyAlignment="1" applyProtection="1">
      <alignment horizontal="centerContinuous" vertical="center"/>
      <protection hidden="1"/>
    </xf>
    <xf numFmtId="0" fontId="13" fillId="5" borderId="11" xfId="0" applyFont="1" applyFill="1" applyBorder="1" applyAlignment="1" applyProtection="1">
      <alignment horizontal="centerContinuous" vertical="center"/>
      <protection hidden="1"/>
    </xf>
    <xf numFmtId="0" fontId="10" fillId="0" borderId="0" xfId="0" applyFont="1" applyFill="1" applyAlignment="1" applyProtection="1">
      <alignment vertical="center"/>
      <protection hidden="1"/>
    </xf>
    <xf numFmtId="164" fontId="4" fillId="0" borderId="11" xfId="0" applyNumberFormat="1" applyFont="1" applyBorder="1" applyAlignment="1" applyProtection="1">
      <alignment horizontal="center" vertical="center"/>
      <protection hidden="1"/>
    </xf>
    <xf numFmtId="0" fontId="5" fillId="0" borderId="11" xfId="0" applyFont="1" applyFill="1" applyBorder="1" applyAlignment="1" applyProtection="1">
      <alignment horizontal="centerContinuous" vertical="center"/>
      <protection hidden="1"/>
    </xf>
    <xf numFmtId="0" fontId="11" fillId="0" borderId="0" xfId="0" applyFont="1" applyFill="1" applyAlignment="1" applyProtection="1">
      <alignment vertical="center"/>
      <protection hidden="1"/>
    </xf>
    <xf numFmtId="49" fontId="11" fillId="0" borderId="0" xfId="0" applyNumberFormat="1" applyFont="1" applyFill="1" applyBorder="1" applyAlignment="1" applyProtection="1">
      <alignment horizontal="center" vertical="center"/>
      <protection hidden="1"/>
    </xf>
    <xf numFmtId="0" fontId="11" fillId="0" borderId="0" xfId="0" applyFont="1" applyFill="1" applyBorder="1" applyAlignment="1" applyProtection="1">
      <alignment vertical="center"/>
      <protection hidden="1"/>
    </xf>
    <xf numFmtId="0" fontId="5" fillId="0" borderId="11" xfId="0" applyFont="1" applyBorder="1" applyAlignment="1" applyProtection="1">
      <alignment horizontal="center" vertical="center"/>
      <protection hidden="1"/>
    </xf>
    <xf numFmtId="0" fontId="5" fillId="0" borderId="11" xfId="0" applyFont="1" applyFill="1" applyBorder="1" applyAlignment="1" applyProtection="1">
      <alignment horizontal="center" vertical="center" wrapText="1"/>
      <protection locked="0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165" fontId="5" fillId="0" borderId="11" xfId="0" applyNumberFormat="1" applyFont="1" applyFill="1" applyBorder="1" applyAlignment="1" applyProtection="1">
      <alignment horizontal="center" vertical="center"/>
      <protection hidden="1"/>
    </xf>
    <xf numFmtId="165" fontId="5" fillId="5" borderId="11" xfId="0" applyNumberFormat="1" applyFont="1" applyFill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7" fillId="0" borderId="13" xfId="0" applyFont="1" applyBorder="1" applyAlignment="1" applyProtection="1">
      <alignment vertical="center"/>
      <protection hidden="1"/>
    </xf>
    <xf numFmtId="0" fontId="5" fillId="0" borderId="12" xfId="0" applyFont="1" applyBorder="1" applyAlignment="1" applyProtection="1">
      <alignment horizontal="center" vertical="center"/>
      <protection hidden="1"/>
    </xf>
    <xf numFmtId="0" fontId="11" fillId="0" borderId="14" xfId="0" applyFont="1" applyBorder="1" applyAlignment="1" applyProtection="1">
      <alignment vertical="center"/>
      <protection hidden="1"/>
    </xf>
    <xf numFmtId="0" fontId="7" fillId="0" borderId="14" xfId="0" applyFont="1" applyBorder="1" applyAlignment="1" applyProtection="1">
      <alignment horizontal="center" vertical="center"/>
      <protection hidden="1"/>
    </xf>
    <xf numFmtId="0" fontId="13" fillId="0" borderId="8" xfId="0" applyFont="1" applyBorder="1" applyAlignment="1" applyProtection="1">
      <alignment horizontal="center" vertical="center"/>
      <protection hidden="1"/>
    </xf>
    <xf numFmtId="0" fontId="13" fillId="0" borderId="6" xfId="0" applyFont="1" applyBorder="1" applyAlignment="1" applyProtection="1">
      <alignment horizontal="center" vertical="center"/>
      <protection hidden="1"/>
    </xf>
    <xf numFmtId="0" fontId="11" fillId="0" borderId="6" xfId="0" applyFont="1" applyBorder="1" applyAlignment="1" applyProtection="1">
      <alignment horizontal="center" vertical="center"/>
      <protection hidden="1"/>
    </xf>
    <xf numFmtId="0" fontId="11" fillId="0" borderId="6" xfId="0" applyFont="1" applyBorder="1" applyAlignment="1" applyProtection="1">
      <alignment vertical="center"/>
      <protection hidden="1"/>
    </xf>
    <xf numFmtId="0" fontId="7" fillId="0" borderId="8" xfId="0" applyFont="1" applyBorder="1" applyAlignment="1" applyProtection="1">
      <alignment vertical="center"/>
      <protection hidden="1"/>
    </xf>
    <xf numFmtId="0" fontId="7" fillId="0" borderId="6" xfId="0" applyFont="1" applyBorder="1" applyAlignment="1" applyProtection="1">
      <alignment vertical="center"/>
      <protection hidden="1"/>
    </xf>
    <xf numFmtId="0" fontId="7" fillId="0" borderId="7" xfId="0" applyFont="1" applyBorder="1" applyAlignment="1" applyProtection="1">
      <alignment horizontal="center" vertical="center"/>
      <protection hidden="1"/>
    </xf>
    <xf numFmtId="1" fontId="4" fillId="0" borderId="9" xfId="0" applyNumberFormat="1" applyFont="1" applyBorder="1" applyAlignment="1" applyProtection="1">
      <alignment horizontal="center" vertical="center"/>
      <protection hidden="1"/>
    </xf>
    <xf numFmtId="0" fontId="4" fillId="0" borderId="10" xfId="0" applyFont="1" applyBorder="1" applyAlignment="1" applyProtection="1">
      <alignment vertical="center"/>
      <protection hidden="1"/>
    </xf>
    <xf numFmtId="0" fontId="7" fillId="0" borderId="10" xfId="0" applyFont="1" applyBorder="1" applyAlignment="1" applyProtection="1">
      <alignment horizontal="center" vertical="center"/>
      <protection hidden="1"/>
    </xf>
    <xf numFmtId="0" fontId="7" fillId="0" borderId="20" xfId="0" applyFont="1" applyBorder="1" applyAlignment="1" applyProtection="1">
      <alignment horizontal="center" vertical="center"/>
      <protection hidden="1"/>
    </xf>
    <xf numFmtId="0" fontId="4" fillId="0" borderId="18" xfId="0" applyFont="1" applyBorder="1" applyAlignment="1" applyProtection="1">
      <alignment horizontal="center" vertical="center"/>
      <protection hidden="1"/>
    </xf>
    <xf numFmtId="0" fontId="3" fillId="3" borderId="14" xfId="0" applyFont="1" applyFill="1" applyBorder="1" applyAlignment="1" applyProtection="1">
      <alignment horizontal="center"/>
      <protection hidden="1"/>
    </xf>
    <xf numFmtId="0" fontId="2" fillId="0" borderId="0" xfId="0" applyNumberFormat="1" applyFont="1"/>
    <xf numFmtId="0" fontId="4" fillId="0" borderId="9" xfId="0" applyNumberFormat="1" applyFont="1" applyBorder="1" applyAlignment="1" applyProtection="1">
      <alignment horizontal="center" vertical="center"/>
      <protection hidden="1"/>
    </xf>
    <xf numFmtId="0" fontId="4" fillId="0" borderId="13" xfId="0" applyFont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5" fillId="0" borderId="11" xfId="0" applyFont="1" applyFill="1" applyBorder="1" applyAlignment="1" applyProtection="1">
      <alignment horizontal="center" vertical="center"/>
      <protection hidden="1"/>
    </xf>
    <xf numFmtId="164" fontId="4" fillId="0" borderId="3" xfId="0" applyNumberFormat="1" applyFont="1" applyBorder="1" applyAlignment="1" applyProtection="1">
      <alignment horizontal="center" vertical="center"/>
      <protection locked="0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49" fontId="5" fillId="0" borderId="11" xfId="0" applyNumberFormat="1" applyFont="1" applyFill="1" applyBorder="1" applyAlignment="1" applyProtection="1">
      <alignment horizontal="center" vertical="center"/>
      <protection hidden="1"/>
    </xf>
    <xf numFmtId="0" fontId="5" fillId="0" borderId="13" xfId="0" applyFont="1" applyBorder="1" applyAlignment="1" applyProtection="1">
      <alignment horizontal="center" vertical="center"/>
      <protection hidden="1"/>
    </xf>
    <xf numFmtId="0" fontId="4" fillId="0" borderId="13" xfId="0" applyFont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horizontal="left" vertical="center"/>
      <protection hidden="1"/>
    </xf>
    <xf numFmtId="0" fontId="4" fillId="0" borderId="10" xfId="0" applyFont="1" applyBorder="1" applyAlignment="1" applyProtection="1">
      <alignment horizontal="left" vertical="center"/>
      <protection hidden="1"/>
    </xf>
    <xf numFmtId="0" fontId="5" fillId="0" borderId="11" xfId="0" applyFont="1" applyBorder="1" applyAlignment="1" applyProtection="1">
      <alignment horizontal="center" vertical="center"/>
      <protection hidden="1"/>
    </xf>
    <xf numFmtId="0" fontId="14" fillId="2" borderId="12" xfId="0" applyFont="1" applyFill="1" applyBorder="1" applyAlignment="1" applyProtection="1">
      <alignment horizontal="center" vertical="center"/>
      <protection hidden="1"/>
    </xf>
    <xf numFmtId="0" fontId="14" fillId="2" borderId="13" xfId="0" applyFont="1" applyFill="1" applyBorder="1" applyAlignment="1" applyProtection="1">
      <alignment horizontal="center" vertical="center"/>
      <protection hidden="1"/>
    </xf>
    <xf numFmtId="0" fontId="14" fillId="2" borderId="14" xfId="0" applyFont="1" applyFill="1" applyBorder="1" applyAlignment="1" applyProtection="1">
      <alignment horizontal="center" vertical="center"/>
      <protection hidden="1"/>
    </xf>
    <xf numFmtId="0" fontId="5" fillId="0" borderId="11" xfId="0" applyFont="1" applyFill="1" applyBorder="1" applyAlignment="1" applyProtection="1">
      <alignment horizontal="center" vertical="center" wrapText="1"/>
      <protection hidden="1"/>
    </xf>
    <xf numFmtId="0" fontId="5" fillId="0" borderId="6" xfId="0" applyNumberFormat="1" applyFont="1" applyFill="1" applyBorder="1" applyAlignment="1" applyProtection="1">
      <alignment horizontal="center" vertical="center"/>
      <protection hidden="1"/>
    </xf>
    <xf numFmtId="0" fontId="5" fillId="0" borderId="7" xfId="0" applyNumberFormat="1" applyFont="1" applyFill="1" applyBorder="1" applyAlignment="1" applyProtection="1">
      <alignment horizontal="center" vertical="center"/>
      <protection hidden="1"/>
    </xf>
    <xf numFmtId="0" fontId="5" fillId="0" borderId="12" xfId="0" applyNumberFormat="1" applyFont="1" applyFill="1" applyBorder="1" applyAlignment="1" applyProtection="1">
      <alignment horizontal="center" vertical="center"/>
      <protection hidden="1"/>
    </xf>
    <xf numFmtId="0" fontId="5" fillId="0" borderId="14" xfId="0" applyNumberFormat="1" applyFont="1" applyFill="1" applyBorder="1" applyAlignment="1" applyProtection="1">
      <alignment horizontal="center" vertical="center"/>
      <protection hidden="1"/>
    </xf>
    <xf numFmtId="0" fontId="5" fillId="0" borderId="11" xfId="0" applyNumberFormat="1" applyFont="1" applyFill="1" applyBorder="1" applyAlignment="1" applyProtection="1">
      <alignment horizontal="center" vertical="center"/>
      <protection hidden="1"/>
    </xf>
    <xf numFmtId="0" fontId="7" fillId="0" borderId="12" xfId="0" applyFont="1" applyBorder="1" applyAlignment="1" applyProtection="1">
      <alignment vertical="center"/>
      <protection hidden="1"/>
    </xf>
    <xf numFmtId="0" fontId="7" fillId="0" borderId="13" xfId="0" applyFont="1" applyBorder="1" applyAlignment="1" applyProtection="1">
      <alignment vertical="center"/>
      <protection hidden="1"/>
    </xf>
    <xf numFmtId="0" fontId="5" fillId="0" borderId="9" xfId="0" applyFont="1" applyBorder="1" applyAlignment="1" applyProtection="1">
      <alignment horizontal="left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20" fillId="4" borderId="12" xfId="0" applyFont="1" applyFill="1" applyBorder="1" applyAlignment="1" applyProtection="1">
      <alignment horizontal="left" vertical="center" wrapText="1"/>
      <protection hidden="1"/>
    </xf>
    <xf numFmtId="0" fontId="17" fillId="4" borderId="13" xfId="0" applyFont="1" applyFill="1" applyBorder="1" applyAlignment="1" applyProtection="1">
      <alignment horizontal="left" vertical="center" wrapText="1"/>
      <protection hidden="1"/>
    </xf>
    <xf numFmtId="0" fontId="4" fillId="0" borderId="19" xfId="0" applyFont="1" applyBorder="1" applyAlignment="1" applyProtection="1">
      <alignment horizontal="left" vertical="center"/>
      <protection hidden="1"/>
    </xf>
    <xf numFmtId="0" fontId="4" fillId="0" borderId="20" xfId="0" applyFont="1" applyBorder="1" applyAlignment="1" applyProtection="1">
      <alignment horizontal="left" vertical="center"/>
      <protection hidden="1"/>
    </xf>
    <xf numFmtId="0" fontId="15" fillId="0" borderId="9" xfId="0" applyFont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15" fillId="0" borderId="18" xfId="0" applyFont="1" applyBorder="1" applyAlignment="1" applyProtection="1">
      <alignment horizontal="center" vertical="center"/>
      <protection locked="0"/>
    </xf>
    <xf numFmtId="0" fontId="15" fillId="0" borderId="19" xfId="0" applyFont="1" applyBorder="1" applyAlignment="1" applyProtection="1">
      <alignment horizontal="center" vertical="center"/>
      <protection locked="0"/>
    </xf>
    <xf numFmtId="0" fontId="5" fillId="0" borderId="8" xfId="0" applyFont="1" applyBorder="1" applyAlignment="1" applyProtection="1">
      <alignment horizontal="left" vertical="center"/>
      <protection hidden="1"/>
    </xf>
    <xf numFmtId="0" fontId="5" fillId="0" borderId="6" xfId="0" applyFont="1" applyBorder="1" applyAlignment="1" applyProtection="1">
      <alignment horizontal="left" vertical="center"/>
      <protection hidden="1"/>
    </xf>
    <xf numFmtId="0" fontId="16" fillId="0" borderId="9" xfId="0" applyFont="1" applyBorder="1" applyAlignment="1" applyProtection="1">
      <alignment horizontal="center" vertical="center"/>
      <protection locked="0"/>
    </xf>
    <xf numFmtId="0" fontId="16" fillId="0" borderId="0" xfId="0" applyFont="1" applyBorder="1" applyAlignment="1" applyProtection="1">
      <alignment horizontal="center" vertical="center"/>
      <protection locked="0"/>
    </xf>
    <xf numFmtId="0" fontId="16" fillId="0" borderId="18" xfId="0" applyFont="1" applyBorder="1" applyAlignment="1" applyProtection="1">
      <alignment horizontal="center" vertical="center"/>
      <protection locked="0"/>
    </xf>
    <xf numFmtId="0" fontId="16" fillId="0" borderId="19" xfId="0" applyFon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center" vertical="center"/>
      <protection hidden="1"/>
    </xf>
    <xf numFmtId="0" fontId="4" fillId="0" borderId="10" xfId="0" applyFont="1" applyBorder="1" applyAlignment="1" applyProtection="1">
      <alignment horizontal="center" vertical="center"/>
      <protection hidden="1"/>
    </xf>
    <xf numFmtId="14" fontId="6" fillId="3" borderId="13" xfId="0" applyNumberFormat="1" applyFont="1" applyFill="1" applyBorder="1" applyAlignment="1" applyProtection="1">
      <alignment horizontal="center" vertical="center"/>
      <protection locked="0"/>
    </xf>
    <xf numFmtId="0" fontId="9" fillId="3" borderId="13" xfId="0" applyFont="1" applyFill="1" applyBorder="1" applyAlignment="1" applyProtection="1">
      <alignment vertical="center"/>
      <protection locked="0"/>
    </xf>
    <xf numFmtId="0" fontId="9" fillId="3" borderId="14" xfId="0" applyFont="1" applyFill="1" applyBorder="1" applyAlignment="1" applyProtection="1">
      <alignment vertical="center"/>
      <protection locked="0"/>
    </xf>
    <xf numFmtId="0" fontId="5" fillId="0" borderId="8" xfId="0" applyNumberFormat="1" applyFont="1" applyFill="1" applyBorder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center" vertical="center"/>
      <protection hidden="1"/>
    </xf>
    <xf numFmtId="0" fontId="5" fillId="0" borderId="16" xfId="0" applyFont="1" applyBorder="1" applyAlignment="1" applyProtection="1">
      <alignment horizontal="center" vertical="center"/>
      <protection hidden="1"/>
    </xf>
    <xf numFmtId="0" fontId="5" fillId="0" borderId="24" xfId="0" applyFont="1" applyBorder="1" applyAlignment="1" applyProtection="1">
      <alignment horizontal="center" vertical="center"/>
      <protection hidden="1"/>
    </xf>
    <xf numFmtId="0" fontId="5" fillId="0" borderId="25" xfId="0" applyFont="1" applyBorder="1" applyAlignment="1" applyProtection="1">
      <alignment horizontal="center" vertical="center"/>
      <protection hidden="1"/>
    </xf>
    <xf numFmtId="0" fontId="5" fillId="0" borderId="5" xfId="0" applyFont="1" applyBorder="1" applyAlignment="1" applyProtection="1">
      <alignment horizontal="center" vertical="center"/>
      <protection hidden="1"/>
    </xf>
    <xf numFmtId="0" fontId="5" fillId="0" borderId="17" xfId="0" applyFont="1" applyBorder="1" applyAlignment="1" applyProtection="1">
      <alignment horizontal="center" vertical="center"/>
      <protection hidden="1"/>
    </xf>
    <xf numFmtId="0" fontId="13" fillId="3" borderId="11" xfId="0" applyFont="1" applyFill="1" applyBorder="1" applyAlignment="1" applyProtection="1">
      <alignment horizontal="center" vertical="center"/>
      <protection hidden="1"/>
    </xf>
    <xf numFmtId="0" fontId="5" fillId="0" borderId="11" xfId="0" applyFont="1" applyFill="1" applyBorder="1" applyAlignment="1" applyProtection="1">
      <alignment horizontal="center" vertical="center"/>
      <protection hidden="1"/>
    </xf>
    <xf numFmtId="0" fontId="4" fillId="0" borderId="11" xfId="0" applyFont="1" applyBorder="1" applyAlignment="1" applyProtection="1">
      <alignment horizontal="center" vertical="center"/>
      <protection locked="0"/>
    </xf>
    <xf numFmtId="49" fontId="5" fillId="0" borderId="7" xfId="0" applyNumberFormat="1" applyFont="1" applyFill="1" applyBorder="1" applyAlignment="1" applyProtection="1">
      <alignment horizontal="center" vertical="center"/>
      <protection locked="0"/>
    </xf>
    <xf numFmtId="49" fontId="5" fillId="0" borderId="10" xfId="0" applyNumberFormat="1" applyFont="1" applyFill="1" applyBorder="1" applyAlignment="1" applyProtection="1">
      <alignment horizontal="center" vertical="center"/>
      <protection locked="0"/>
    </xf>
    <xf numFmtId="49" fontId="4" fillId="0" borderId="7" xfId="0" applyNumberFormat="1" applyFont="1" applyFill="1" applyBorder="1" applyAlignment="1" applyProtection="1">
      <alignment horizontal="center" vertical="center"/>
      <protection locked="0"/>
    </xf>
    <xf numFmtId="0" fontId="4" fillId="0" borderId="10" xfId="0" applyFont="1" applyFill="1" applyBorder="1" applyAlignment="1" applyProtection="1">
      <alignment horizontal="center" vertical="center"/>
      <protection locked="0"/>
    </xf>
    <xf numFmtId="0" fontId="5" fillId="0" borderId="8" xfId="0" applyFont="1" applyFill="1" applyBorder="1" applyAlignment="1" applyProtection="1">
      <alignment horizontal="center" vertical="center"/>
      <protection locked="0"/>
    </xf>
    <xf numFmtId="0" fontId="4" fillId="0" borderId="6" xfId="0" applyFont="1" applyBorder="1" applyAlignment="1" applyProtection="1">
      <alignment vertical="center"/>
      <protection locked="0"/>
    </xf>
    <xf numFmtId="0" fontId="4" fillId="0" borderId="7" xfId="0" applyFont="1" applyBorder="1" applyAlignment="1" applyProtection="1">
      <alignment vertical="center"/>
      <protection locked="0"/>
    </xf>
    <xf numFmtId="0" fontId="4" fillId="0" borderId="9" xfId="0" applyFont="1" applyFill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4" fillId="0" borderId="10" xfId="0" applyFont="1" applyBorder="1" applyAlignment="1" applyProtection="1">
      <alignment vertical="center"/>
      <protection locked="0"/>
    </xf>
    <xf numFmtId="0" fontId="5" fillId="0" borderId="6" xfId="0" applyFont="1" applyFill="1" applyBorder="1" applyAlignment="1" applyProtection="1">
      <alignment horizontal="center" vertical="center"/>
      <protection locked="0"/>
    </xf>
    <xf numFmtId="0" fontId="5" fillId="0" borderId="7" xfId="0" applyFont="1" applyFill="1" applyBorder="1" applyAlignment="1" applyProtection="1">
      <alignment horizontal="center" vertical="center"/>
      <protection locked="0"/>
    </xf>
    <xf numFmtId="0" fontId="5" fillId="0" borderId="9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5" fillId="0" borderId="10" xfId="0" applyFont="1" applyFill="1" applyBorder="1" applyAlignment="1" applyProtection="1">
      <alignment horizontal="center" vertical="center"/>
      <protection locked="0"/>
    </xf>
    <xf numFmtId="0" fontId="5" fillId="0" borderId="16" xfId="0" applyFont="1" applyBorder="1" applyAlignment="1" applyProtection="1">
      <alignment horizontal="center" vertical="center" wrapText="1"/>
      <protection hidden="1"/>
    </xf>
    <xf numFmtId="0" fontId="4" fillId="0" borderId="10" xfId="0" applyFont="1" applyBorder="1" applyAlignment="1" applyProtection="1">
      <alignment horizontal="center" vertical="center" wrapText="1"/>
      <protection hidden="1"/>
    </xf>
    <xf numFmtId="0" fontId="21" fillId="0" borderId="6" xfId="1" applyFont="1" applyBorder="1" applyAlignment="1" applyProtection="1">
      <alignment horizontal="center" vertical="center" wrapText="1"/>
      <protection hidden="1"/>
    </xf>
    <xf numFmtId="0" fontId="21" fillId="0" borderId="5" xfId="1" applyFont="1" applyBorder="1" applyAlignment="1" applyProtection="1">
      <alignment horizontal="center" vertical="center" wrapText="1"/>
      <protection hidden="1"/>
    </xf>
    <xf numFmtId="0" fontId="21" fillId="0" borderId="7" xfId="1" applyFont="1" applyBorder="1" applyAlignment="1" applyProtection="1">
      <alignment horizontal="center" vertical="center" wrapText="1"/>
      <protection hidden="1"/>
    </xf>
    <xf numFmtId="0" fontId="21" fillId="0" borderId="17" xfId="1" applyFont="1" applyBorder="1" applyAlignment="1" applyProtection="1">
      <alignment horizontal="center" vertical="center" wrapText="1"/>
      <protection hidden="1"/>
    </xf>
    <xf numFmtId="0" fontId="4" fillId="0" borderId="6" xfId="1" applyFont="1" applyBorder="1" applyAlignment="1" applyProtection="1">
      <alignment horizontal="center" vertical="center"/>
      <protection hidden="1"/>
    </xf>
    <xf numFmtId="0" fontId="4" fillId="0" borderId="5" xfId="1" applyFont="1" applyBorder="1" applyAlignment="1" applyProtection="1">
      <alignment horizontal="center" vertical="center"/>
      <protection hidden="1"/>
    </xf>
    <xf numFmtId="0" fontId="5" fillId="0" borderId="0" xfId="0" applyFont="1" applyBorder="1" applyAlignment="1" applyProtection="1">
      <alignment horizontal="center" vertical="center"/>
      <protection hidden="1"/>
    </xf>
    <xf numFmtId="0" fontId="5" fillId="0" borderId="10" xfId="0" applyFont="1" applyBorder="1" applyAlignment="1" applyProtection="1">
      <alignment horizontal="center" vertical="center"/>
      <protection hidden="1"/>
    </xf>
    <xf numFmtId="0" fontId="6" fillId="3" borderId="12" xfId="0" applyNumberFormat="1" applyFont="1" applyFill="1" applyBorder="1" applyAlignment="1" applyProtection="1">
      <alignment horizontal="center" vertical="center"/>
      <protection locked="0"/>
    </xf>
    <xf numFmtId="0" fontId="9" fillId="3" borderId="13" xfId="0" applyNumberFormat="1" applyFont="1" applyFill="1" applyBorder="1" applyAlignment="1" applyProtection="1">
      <alignment vertical="center"/>
      <protection locked="0"/>
    </xf>
    <xf numFmtId="0" fontId="9" fillId="3" borderId="14" xfId="0" applyNumberFormat="1" applyFont="1" applyFill="1" applyBorder="1" applyAlignment="1" applyProtection="1">
      <alignment vertical="center"/>
      <protection locked="0"/>
    </xf>
    <xf numFmtId="0" fontId="6" fillId="3" borderId="12" xfId="0" applyFont="1" applyFill="1" applyBorder="1" applyAlignment="1" applyProtection="1">
      <alignment vertical="center"/>
      <protection locked="0"/>
    </xf>
    <xf numFmtId="0" fontId="21" fillId="0" borderId="8" xfId="1" applyFont="1" applyBorder="1" applyAlignment="1" applyProtection="1">
      <alignment horizontal="center" vertical="center" wrapText="1"/>
      <protection hidden="1"/>
    </xf>
    <xf numFmtId="0" fontId="21" fillId="0" borderId="21" xfId="1" applyFont="1" applyBorder="1" applyAlignment="1" applyProtection="1">
      <alignment horizontal="center" vertical="center" wrapText="1"/>
      <protection hidden="1"/>
    </xf>
    <xf numFmtId="0" fontId="5" fillId="0" borderId="15" xfId="0" applyFont="1" applyBorder="1" applyAlignment="1" applyProtection="1">
      <alignment horizontal="center" vertical="center" wrapText="1"/>
      <protection hidden="1"/>
    </xf>
    <xf numFmtId="0" fontId="4" fillId="0" borderId="1" xfId="0" applyFont="1" applyBorder="1" applyAlignment="1" applyProtection="1">
      <alignment vertical="center"/>
      <protection hidden="1"/>
    </xf>
    <xf numFmtId="0" fontId="4" fillId="0" borderId="16" xfId="0" applyFont="1" applyBorder="1" applyAlignment="1" applyProtection="1">
      <alignment vertical="center"/>
      <protection hidden="1"/>
    </xf>
    <xf numFmtId="0" fontId="4" fillId="0" borderId="9" xfId="0" applyFont="1" applyBorder="1" applyAlignment="1" applyProtection="1">
      <alignment horizontal="center" vertical="center" wrapText="1"/>
      <protection hidden="1"/>
    </xf>
    <xf numFmtId="0" fontId="4" fillId="0" borderId="10" xfId="0" applyFont="1" applyBorder="1" applyAlignment="1" applyProtection="1">
      <alignment vertical="center"/>
      <protection hidden="1"/>
    </xf>
    <xf numFmtId="1" fontId="5" fillId="0" borderId="16" xfId="0" applyNumberFormat="1" applyFont="1" applyBorder="1" applyAlignment="1" applyProtection="1">
      <alignment horizontal="center" vertical="center" wrapText="1"/>
      <protection hidden="1"/>
    </xf>
    <xf numFmtId="1" fontId="4" fillId="0" borderId="10" xfId="0" applyNumberFormat="1" applyFont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177800</xdr:colOff>
      <xdr:row>0</xdr:row>
      <xdr:rowOff>22226</xdr:rowOff>
    </xdr:from>
    <xdr:to>
      <xdr:col>7</xdr:col>
      <xdr:colOff>19835</xdr:colOff>
      <xdr:row>0</xdr:row>
      <xdr:rowOff>822021</xdr:rowOff>
    </xdr:to>
    <xdr:pic>
      <xdr:nvPicPr>
        <xdr:cNvPr id="14990" name="Picture 1">
          <a:extLst>
            <a:ext uri="{FF2B5EF4-FFF2-40B4-BE49-F238E27FC236}">
              <a16:creationId xmlns:a16="http://schemas.microsoft.com/office/drawing/2014/main" id="{00000000-0008-0000-0000-00008E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8775" y="22226"/>
          <a:ext cx="2632075" cy="801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0</xdr:row>
      <xdr:rowOff>1206500</xdr:rowOff>
    </xdr:from>
    <xdr:to>
      <xdr:col>15</xdr:col>
      <xdr:colOff>968375</xdr:colOff>
      <xdr:row>0</xdr:row>
      <xdr:rowOff>1206500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>
          <a:off x="176893" y="1206500"/>
          <a:ext cx="14017625" cy="0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U59"/>
  <sheetViews>
    <sheetView tabSelected="1" view="pageBreakPreview" topLeftCell="A22" zoomScale="85" zoomScaleNormal="70" zoomScaleSheetLayoutView="85" workbookViewId="0">
      <selection activeCell="H50" sqref="H50:O50"/>
    </sheetView>
  </sheetViews>
  <sheetFormatPr defaultColWidth="9.140625" defaultRowHeight="12.75"/>
  <cols>
    <col min="1" max="1" width="2.7109375" style="10" customWidth="1"/>
    <col min="2" max="2" width="7.85546875" style="10" customWidth="1"/>
    <col min="3" max="3" width="4.7109375" style="10" customWidth="1"/>
    <col min="4" max="4" width="3.85546875" style="10" customWidth="1"/>
    <col min="5" max="5" width="10.5703125" style="10" customWidth="1"/>
    <col min="6" max="7" width="7.28515625" style="10" customWidth="1"/>
    <col min="8" max="14" width="10.28515625" style="10" customWidth="1"/>
    <col min="15" max="15" width="9.140625" style="9" customWidth="1"/>
    <col min="16" max="16" width="11.7109375" style="9" customWidth="1"/>
    <col min="17" max="17" width="2.7109375" style="10" customWidth="1"/>
    <col min="18" max="16384" width="9.140625" style="10"/>
  </cols>
  <sheetData>
    <row r="1" spans="1:21" ht="75" customHeight="1">
      <c r="A1" s="2"/>
      <c r="B1" s="3"/>
      <c r="C1" s="4"/>
      <c r="D1" s="4"/>
      <c r="E1" s="4"/>
      <c r="F1" s="4"/>
      <c r="G1" s="4"/>
      <c r="H1" s="4"/>
      <c r="I1" s="5"/>
      <c r="J1" s="6"/>
      <c r="K1" s="7"/>
      <c r="L1" s="7"/>
      <c r="M1" s="7"/>
      <c r="N1" s="7"/>
      <c r="O1" s="7"/>
      <c r="P1" s="8" t="s">
        <v>48</v>
      </c>
      <c r="Q1" s="9"/>
      <c r="R1" s="9"/>
      <c r="S1" s="9"/>
    </row>
    <row r="2" spans="1:21" s="2" customFormat="1" ht="17.100000000000001" customHeight="1">
      <c r="B2" s="11" t="s">
        <v>0</v>
      </c>
      <c r="C2" s="72"/>
      <c r="D2" s="72"/>
      <c r="E2" s="72"/>
      <c r="F2" s="72"/>
      <c r="G2" s="72"/>
      <c r="H2" s="12" t="s">
        <v>1</v>
      </c>
      <c r="I2" s="72"/>
      <c r="J2" s="72"/>
      <c r="K2" s="147" t="s">
        <v>27</v>
      </c>
      <c r="L2" s="147"/>
      <c r="M2" s="147"/>
      <c r="N2" s="147" t="s">
        <v>2</v>
      </c>
      <c r="O2" s="147"/>
      <c r="P2" s="148"/>
      <c r="Q2" s="13"/>
      <c r="R2" s="13"/>
      <c r="S2" s="13"/>
    </row>
    <row r="3" spans="1:21" ht="20.25">
      <c r="B3" s="152"/>
      <c r="C3" s="112"/>
      <c r="D3" s="112"/>
      <c r="E3" s="112"/>
      <c r="F3" s="112"/>
      <c r="G3" s="113"/>
      <c r="H3" s="152"/>
      <c r="I3" s="112"/>
      <c r="J3" s="113"/>
      <c r="K3" s="149"/>
      <c r="L3" s="150"/>
      <c r="M3" s="151"/>
      <c r="N3" s="111">
        <v>44471</v>
      </c>
      <c r="O3" s="112"/>
      <c r="P3" s="113"/>
      <c r="Q3" s="9"/>
      <c r="R3" s="9"/>
      <c r="S3" s="9"/>
    </row>
    <row r="4" spans="1:21" ht="20.100000000000001" customHeight="1">
      <c r="A4" s="14"/>
      <c r="B4" s="153" t="s">
        <v>58</v>
      </c>
      <c r="C4" s="141"/>
      <c r="D4" s="141"/>
      <c r="E4" s="145"/>
      <c r="F4" s="141" t="s">
        <v>59</v>
      </c>
      <c r="G4" s="143" t="s">
        <v>59</v>
      </c>
      <c r="H4" s="16">
        <f t="shared" ref="H4:M4" si="0">I4-1</f>
        <v>44465</v>
      </c>
      <c r="I4" s="16">
        <f t="shared" si="0"/>
        <v>44466</v>
      </c>
      <c r="J4" s="16">
        <f t="shared" si="0"/>
        <v>44467</v>
      </c>
      <c r="K4" s="16">
        <f t="shared" si="0"/>
        <v>44468</v>
      </c>
      <c r="L4" s="16">
        <f t="shared" si="0"/>
        <v>44469</v>
      </c>
      <c r="M4" s="16">
        <f t="shared" si="0"/>
        <v>44470</v>
      </c>
      <c r="N4" s="74">
        <f>N3</f>
        <v>44471</v>
      </c>
      <c r="O4" s="109"/>
      <c r="P4" s="110"/>
      <c r="Q4" s="9"/>
      <c r="R4" s="9"/>
      <c r="S4" s="17"/>
      <c r="T4" s="18"/>
      <c r="U4" s="18"/>
    </row>
    <row r="5" spans="1:21" ht="20.100000000000001" customHeight="1" thickBot="1">
      <c r="A5" s="14"/>
      <c r="B5" s="154"/>
      <c r="C5" s="142"/>
      <c r="D5" s="142"/>
      <c r="E5" s="146"/>
      <c r="F5" s="142"/>
      <c r="G5" s="144"/>
      <c r="H5" s="19" t="s">
        <v>3</v>
      </c>
      <c r="I5" s="19" t="s">
        <v>4</v>
      </c>
      <c r="J5" s="19" t="s">
        <v>5</v>
      </c>
      <c r="K5" s="19" t="s">
        <v>6</v>
      </c>
      <c r="L5" s="19" t="s">
        <v>7</v>
      </c>
      <c r="M5" s="19" t="s">
        <v>8</v>
      </c>
      <c r="N5" s="19" t="s">
        <v>9</v>
      </c>
      <c r="O5" s="119" t="s">
        <v>10</v>
      </c>
      <c r="P5" s="120"/>
      <c r="Q5" s="9"/>
      <c r="R5" s="9"/>
      <c r="S5" s="17"/>
      <c r="T5" s="18"/>
      <c r="U5" s="18"/>
    </row>
    <row r="6" spans="1:21" ht="22.9" customHeight="1">
      <c r="A6" s="14"/>
      <c r="B6" s="155" t="s">
        <v>11</v>
      </c>
      <c r="C6" s="156"/>
      <c r="D6" s="157"/>
      <c r="E6" s="160" t="s">
        <v>12</v>
      </c>
      <c r="F6" s="139" t="s">
        <v>57</v>
      </c>
      <c r="G6" s="139" t="s">
        <v>49</v>
      </c>
      <c r="H6" s="20" t="s">
        <v>13</v>
      </c>
      <c r="I6" s="21" t="s">
        <v>13</v>
      </c>
      <c r="J6" s="21" t="s">
        <v>13</v>
      </c>
      <c r="K6" s="21" t="s">
        <v>13</v>
      </c>
      <c r="L6" s="21" t="s">
        <v>13</v>
      </c>
      <c r="M6" s="21" t="s">
        <v>13</v>
      </c>
      <c r="N6" s="21" t="s">
        <v>13</v>
      </c>
      <c r="O6" s="115" t="s">
        <v>13</v>
      </c>
      <c r="P6" s="116"/>
      <c r="Q6" s="9"/>
      <c r="R6" s="9"/>
      <c r="S6" s="22"/>
      <c r="T6" s="22"/>
      <c r="U6" s="18"/>
    </row>
    <row r="7" spans="1:21" ht="22.9" customHeight="1">
      <c r="A7" s="14"/>
      <c r="B7" s="158"/>
      <c r="C7" s="94"/>
      <c r="D7" s="159"/>
      <c r="E7" s="161"/>
      <c r="F7" s="140"/>
      <c r="G7" s="140"/>
      <c r="H7" s="23" t="s">
        <v>14</v>
      </c>
      <c r="I7" s="23" t="s">
        <v>14</v>
      </c>
      <c r="J7" s="23" t="s">
        <v>14</v>
      </c>
      <c r="K7" s="23" t="s">
        <v>14</v>
      </c>
      <c r="L7" s="23" t="s">
        <v>14</v>
      </c>
      <c r="M7" s="23" t="s">
        <v>14</v>
      </c>
      <c r="N7" s="23" t="s">
        <v>14</v>
      </c>
      <c r="O7" s="117" t="s">
        <v>14</v>
      </c>
      <c r="P7" s="118"/>
      <c r="Q7" s="9"/>
      <c r="R7" s="9"/>
      <c r="S7" s="22"/>
      <c r="T7" s="22"/>
      <c r="U7" s="18"/>
    </row>
    <row r="8" spans="1:21" s="25" customFormat="1" ht="15" customHeight="1">
      <c r="A8" s="14"/>
      <c r="B8" s="128"/>
      <c r="C8" s="134"/>
      <c r="D8" s="135"/>
      <c r="E8" s="126"/>
      <c r="F8" s="123"/>
      <c r="G8" s="124"/>
      <c r="H8" s="24"/>
      <c r="I8" s="24"/>
      <c r="J8" s="24"/>
      <c r="K8" s="24"/>
      <c r="L8" s="24"/>
      <c r="M8" s="24"/>
      <c r="N8" s="24"/>
      <c r="O8" s="86">
        <f t="shared" ref="O8:O21" si="1">SUM(H8:N8)</f>
        <v>0</v>
      </c>
      <c r="P8" s="87"/>
      <c r="R8" s="25" t="str">
        <f>IF(E8="6000",B8="00301","")</f>
        <v/>
      </c>
      <c r="S8" s="26"/>
      <c r="T8" s="26"/>
      <c r="U8" s="27"/>
    </row>
    <row r="9" spans="1:21" s="25" customFormat="1" ht="15" customHeight="1">
      <c r="A9" s="14"/>
      <c r="B9" s="136"/>
      <c r="C9" s="137"/>
      <c r="D9" s="138"/>
      <c r="E9" s="127"/>
      <c r="F9" s="123"/>
      <c r="G9" s="125"/>
      <c r="H9" s="28"/>
      <c r="I9" s="28"/>
      <c r="J9" s="28"/>
      <c r="K9" s="28"/>
      <c r="L9" s="28"/>
      <c r="M9" s="28"/>
      <c r="N9" s="28"/>
      <c r="O9" s="88">
        <f t="shared" si="1"/>
        <v>0</v>
      </c>
      <c r="P9" s="89"/>
      <c r="S9" s="26"/>
      <c r="T9" s="26"/>
      <c r="U9" s="27"/>
    </row>
    <row r="10" spans="1:21" s="25" customFormat="1" ht="15" customHeight="1">
      <c r="A10" s="14"/>
      <c r="B10" s="128"/>
      <c r="C10" s="134"/>
      <c r="D10" s="135"/>
      <c r="E10" s="126"/>
      <c r="F10" s="123"/>
      <c r="G10" s="124"/>
      <c r="H10" s="24"/>
      <c r="I10" s="24"/>
      <c r="J10" s="24"/>
      <c r="K10" s="24"/>
      <c r="L10" s="24"/>
      <c r="M10" s="24"/>
      <c r="N10" s="24"/>
      <c r="O10" s="114">
        <f t="shared" si="1"/>
        <v>0</v>
      </c>
      <c r="P10" s="87"/>
      <c r="S10" s="26"/>
      <c r="T10" s="26"/>
      <c r="U10" s="27"/>
    </row>
    <row r="11" spans="1:21" s="25" customFormat="1" ht="15" customHeight="1">
      <c r="A11" s="14"/>
      <c r="B11" s="136"/>
      <c r="C11" s="137"/>
      <c r="D11" s="138"/>
      <c r="E11" s="127"/>
      <c r="F11" s="123"/>
      <c r="G11" s="125"/>
      <c r="H11" s="28"/>
      <c r="I11" s="28"/>
      <c r="J11" s="28"/>
      <c r="K11" s="28"/>
      <c r="L11" s="28"/>
      <c r="M11" s="28"/>
      <c r="N11" s="28"/>
      <c r="O11" s="88">
        <f t="shared" si="1"/>
        <v>0</v>
      </c>
      <c r="P11" s="89"/>
      <c r="S11" s="26"/>
      <c r="T11" s="26"/>
      <c r="U11" s="27"/>
    </row>
    <row r="12" spans="1:21" s="25" customFormat="1" ht="15" customHeight="1">
      <c r="A12" s="14"/>
      <c r="B12" s="128"/>
      <c r="C12" s="129"/>
      <c r="D12" s="130"/>
      <c r="E12" s="126"/>
      <c r="F12" s="123"/>
      <c r="G12" s="124"/>
      <c r="H12" s="24"/>
      <c r="I12" s="24"/>
      <c r="J12" s="24"/>
      <c r="K12" s="24"/>
      <c r="L12" s="24"/>
      <c r="M12" s="24"/>
      <c r="N12" s="24"/>
      <c r="O12" s="86">
        <f t="shared" si="1"/>
        <v>0</v>
      </c>
      <c r="P12" s="87"/>
      <c r="S12" s="26"/>
      <c r="T12" s="26"/>
      <c r="U12" s="27"/>
    </row>
    <row r="13" spans="1:21" s="25" customFormat="1" ht="15" customHeight="1">
      <c r="A13" s="14"/>
      <c r="B13" s="131"/>
      <c r="C13" s="132"/>
      <c r="D13" s="133"/>
      <c r="E13" s="127"/>
      <c r="F13" s="123"/>
      <c r="G13" s="125"/>
      <c r="H13" s="28"/>
      <c r="I13" s="28"/>
      <c r="J13" s="28"/>
      <c r="K13" s="28"/>
      <c r="L13" s="28"/>
      <c r="M13" s="28"/>
      <c r="N13" s="28"/>
      <c r="O13" s="88">
        <f t="shared" si="1"/>
        <v>0</v>
      </c>
      <c r="P13" s="89"/>
      <c r="S13" s="26"/>
      <c r="T13" s="26"/>
      <c r="U13" s="27"/>
    </row>
    <row r="14" spans="1:21" s="25" customFormat="1" ht="15" customHeight="1">
      <c r="A14" s="14"/>
      <c r="B14" s="128"/>
      <c r="C14" s="129"/>
      <c r="D14" s="130"/>
      <c r="E14" s="126"/>
      <c r="F14" s="123"/>
      <c r="G14" s="124"/>
      <c r="H14" s="24"/>
      <c r="I14" s="24"/>
      <c r="J14" s="24"/>
      <c r="K14" s="24"/>
      <c r="L14" s="24"/>
      <c r="M14" s="24"/>
      <c r="N14" s="24"/>
      <c r="O14" s="86">
        <f t="shared" si="1"/>
        <v>0</v>
      </c>
      <c r="P14" s="87"/>
      <c r="S14" s="26"/>
      <c r="T14" s="26"/>
      <c r="U14" s="27"/>
    </row>
    <row r="15" spans="1:21" s="25" customFormat="1" ht="15" customHeight="1">
      <c r="A15" s="14"/>
      <c r="B15" s="131"/>
      <c r="C15" s="132"/>
      <c r="D15" s="133"/>
      <c r="E15" s="127"/>
      <c r="F15" s="123"/>
      <c r="G15" s="125"/>
      <c r="H15" s="28"/>
      <c r="I15" s="28"/>
      <c r="J15" s="28"/>
      <c r="K15" s="28"/>
      <c r="L15" s="28"/>
      <c r="M15" s="28"/>
      <c r="N15" s="28"/>
      <c r="O15" s="88">
        <f t="shared" si="1"/>
        <v>0</v>
      </c>
      <c r="P15" s="89"/>
      <c r="S15" s="26"/>
      <c r="T15" s="26"/>
      <c r="U15" s="27"/>
    </row>
    <row r="16" spans="1:21" s="25" customFormat="1" ht="15" customHeight="1">
      <c r="A16" s="14"/>
      <c r="B16" s="128"/>
      <c r="C16" s="129"/>
      <c r="D16" s="130"/>
      <c r="E16" s="126"/>
      <c r="F16" s="123"/>
      <c r="G16" s="124"/>
      <c r="H16" s="24"/>
      <c r="I16" s="24"/>
      <c r="J16" s="24"/>
      <c r="K16" s="24"/>
      <c r="L16" s="24"/>
      <c r="M16" s="24"/>
      <c r="N16" s="24"/>
      <c r="O16" s="86">
        <f t="shared" si="1"/>
        <v>0</v>
      </c>
      <c r="P16" s="87"/>
      <c r="S16" s="26"/>
      <c r="T16" s="26"/>
      <c r="U16" s="27"/>
    </row>
    <row r="17" spans="1:21" s="25" customFormat="1" ht="15" customHeight="1">
      <c r="A17" s="14"/>
      <c r="B17" s="131"/>
      <c r="C17" s="132"/>
      <c r="D17" s="133"/>
      <c r="E17" s="127"/>
      <c r="F17" s="123"/>
      <c r="G17" s="125"/>
      <c r="H17" s="28"/>
      <c r="I17" s="28"/>
      <c r="J17" s="28"/>
      <c r="K17" s="28"/>
      <c r="L17" s="28"/>
      <c r="M17" s="28"/>
      <c r="N17" s="28"/>
      <c r="O17" s="88">
        <f t="shared" si="1"/>
        <v>0</v>
      </c>
      <c r="P17" s="89"/>
      <c r="S17" s="26"/>
      <c r="T17" s="26"/>
      <c r="U17" s="27"/>
    </row>
    <row r="18" spans="1:21" s="25" customFormat="1" ht="15" customHeight="1">
      <c r="A18" s="14"/>
      <c r="B18" s="128"/>
      <c r="C18" s="129"/>
      <c r="D18" s="130"/>
      <c r="E18" s="126"/>
      <c r="F18" s="123"/>
      <c r="G18" s="124"/>
      <c r="H18" s="24"/>
      <c r="I18" s="24"/>
      <c r="J18" s="24"/>
      <c r="K18" s="24"/>
      <c r="L18" s="24"/>
      <c r="M18" s="24"/>
      <c r="N18" s="24"/>
      <c r="O18" s="86">
        <f t="shared" si="1"/>
        <v>0</v>
      </c>
      <c r="P18" s="87"/>
      <c r="S18" s="26"/>
      <c r="T18" s="26"/>
      <c r="U18" s="27"/>
    </row>
    <row r="19" spans="1:21" s="25" customFormat="1" ht="15" customHeight="1">
      <c r="A19" s="14"/>
      <c r="B19" s="131"/>
      <c r="C19" s="132"/>
      <c r="D19" s="133"/>
      <c r="E19" s="127"/>
      <c r="F19" s="123"/>
      <c r="G19" s="125"/>
      <c r="H19" s="28"/>
      <c r="I19" s="28"/>
      <c r="J19" s="28"/>
      <c r="K19" s="28"/>
      <c r="L19" s="28"/>
      <c r="M19" s="28"/>
      <c r="N19" s="28"/>
      <c r="O19" s="88">
        <f t="shared" si="1"/>
        <v>0</v>
      </c>
      <c r="P19" s="89"/>
      <c r="S19" s="26"/>
      <c r="T19" s="26"/>
      <c r="U19" s="27"/>
    </row>
    <row r="20" spans="1:21" s="25" customFormat="1" ht="15" customHeight="1">
      <c r="A20" s="14"/>
      <c r="B20" s="128"/>
      <c r="C20" s="129"/>
      <c r="D20" s="130"/>
      <c r="E20" s="126"/>
      <c r="F20" s="123"/>
      <c r="G20" s="124"/>
      <c r="H20" s="24"/>
      <c r="I20" s="24"/>
      <c r="J20" s="24"/>
      <c r="K20" s="24"/>
      <c r="L20" s="24"/>
      <c r="M20" s="24"/>
      <c r="N20" s="24"/>
      <c r="O20" s="86">
        <f t="shared" si="1"/>
        <v>0</v>
      </c>
      <c r="P20" s="87"/>
      <c r="S20" s="26"/>
      <c r="T20" s="26"/>
      <c r="U20" s="27"/>
    </row>
    <row r="21" spans="1:21" s="25" customFormat="1" ht="15" customHeight="1">
      <c r="A21" s="14"/>
      <c r="B21" s="131"/>
      <c r="C21" s="132"/>
      <c r="D21" s="133"/>
      <c r="E21" s="127"/>
      <c r="F21" s="123"/>
      <c r="G21" s="125"/>
      <c r="H21" s="28"/>
      <c r="I21" s="28"/>
      <c r="J21" s="28"/>
      <c r="K21" s="28"/>
      <c r="L21" s="28"/>
      <c r="M21" s="28"/>
      <c r="N21" s="28"/>
      <c r="O21" s="88">
        <f t="shared" si="1"/>
        <v>0</v>
      </c>
      <c r="P21" s="89"/>
      <c r="S21" s="26"/>
      <c r="T21" s="26"/>
      <c r="U21" s="27"/>
    </row>
    <row r="22" spans="1:21" s="25" customFormat="1" ht="15" customHeight="1">
      <c r="A22" s="14"/>
      <c r="B22" s="29"/>
      <c r="C22" s="30"/>
      <c r="D22" s="30"/>
      <c r="E22" s="31"/>
      <c r="F22" s="31"/>
      <c r="G22" s="32" t="s">
        <v>15</v>
      </c>
      <c r="H22" s="73">
        <f t="shared" ref="H22:O23" si="2">SUM(H8+H10+H12+H14+H16+H18+H20)</f>
        <v>0</v>
      </c>
      <c r="I22" s="73">
        <f t="shared" si="2"/>
        <v>0</v>
      </c>
      <c r="J22" s="73">
        <f t="shared" si="2"/>
        <v>0</v>
      </c>
      <c r="K22" s="73">
        <f t="shared" si="2"/>
        <v>0</v>
      </c>
      <c r="L22" s="73">
        <f t="shared" si="2"/>
        <v>0</v>
      </c>
      <c r="M22" s="73">
        <f t="shared" si="2"/>
        <v>0</v>
      </c>
      <c r="N22" s="73">
        <f t="shared" si="2"/>
        <v>0</v>
      </c>
      <c r="O22" s="90">
        <f t="shared" si="2"/>
        <v>0</v>
      </c>
      <c r="P22" s="90"/>
      <c r="S22" s="26"/>
      <c r="T22" s="26"/>
      <c r="U22" s="27"/>
    </row>
    <row r="23" spans="1:21" s="25" customFormat="1" ht="15" customHeight="1">
      <c r="A23" s="14"/>
      <c r="B23" s="29"/>
      <c r="C23" s="30"/>
      <c r="D23" s="30"/>
      <c r="E23" s="31"/>
      <c r="F23" s="31"/>
      <c r="G23" s="32" t="s">
        <v>16</v>
      </c>
      <c r="H23" s="73">
        <f t="shared" si="2"/>
        <v>0</v>
      </c>
      <c r="I23" s="73">
        <f t="shared" si="2"/>
        <v>0</v>
      </c>
      <c r="J23" s="73">
        <f t="shared" si="2"/>
        <v>0</v>
      </c>
      <c r="K23" s="73">
        <f t="shared" si="2"/>
        <v>0</v>
      </c>
      <c r="L23" s="73">
        <f t="shared" si="2"/>
        <v>0</v>
      </c>
      <c r="M23" s="73">
        <f t="shared" si="2"/>
        <v>0</v>
      </c>
      <c r="N23" s="73">
        <f t="shared" si="2"/>
        <v>0</v>
      </c>
      <c r="O23" s="90">
        <f t="shared" si="2"/>
        <v>0</v>
      </c>
      <c r="P23" s="90"/>
      <c r="S23" s="26"/>
      <c r="T23" s="26"/>
      <c r="U23" s="27"/>
    </row>
    <row r="24" spans="1:21" s="25" customFormat="1" ht="15" customHeight="1">
      <c r="B24" s="34"/>
      <c r="C24" s="18"/>
      <c r="D24" s="35"/>
      <c r="K24" s="35"/>
      <c r="L24" s="35"/>
      <c r="M24" s="35"/>
      <c r="N24" s="36"/>
      <c r="O24" s="37"/>
      <c r="P24" s="37"/>
      <c r="Q24" s="37"/>
      <c r="R24" s="37"/>
      <c r="S24" s="26"/>
      <c r="T24" s="26"/>
      <c r="U24" s="27"/>
    </row>
    <row r="25" spans="1:21" s="25" customFormat="1" ht="15" customHeight="1">
      <c r="B25" s="34"/>
      <c r="C25" s="18"/>
      <c r="D25" s="35"/>
      <c r="K25" s="35"/>
      <c r="L25" s="35"/>
      <c r="M25" s="35"/>
      <c r="N25" s="36"/>
      <c r="O25" s="37"/>
      <c r="P25" s="37"/>
      <c r="Q25" s="37"/>
      <c r="R25" s="37"/>
      <c r="S25" s="26"/>
      <c r="T25" s="26"/>
      <c r="U25" s="27"/>
    </row>
    <row r="26" spans="1:21" s="25" customFormat="1" ht="15" hidden="1" customHeight="1">
      <c r="B26" s="121" t="s">
        <v>17</v>
      </c>
      <c r="C26" s="121"/>
      <c r="D26" s="121"/>
      <c r="E26" s="121"/>
      <c r="F26" s="121"/>
      <c r="G26" s="121"/>
      <c r="H26" s="38"/>
      <c r="I26" s="38"/>
      <c r="J26" s="38"/>
      <c r="K26" s="38"/>
      <c r="L26" s="38"/>
      <c r="M26" s="38"/>
      <c r="N26" s="38"/>
      <c r="O26" s="38"/>
      <c r="P26" s="39"/>
      <c r="S26" s="26"/>
      <c r="T26" s="26"/>
      <c r="U26" s="27"/>
    </row>
    <row r="27" spans="1:21" s="43" customFormat="1" ht="20.100000000000001" hidden="1" customHeight="1">
      <c r="A27" s="40"/>
      <c r="B27" s="85" t="s">
        <v>11</v>
      </c>
      <c r="C27" s="122" t="s">
        <v>18</v>
      </c>
      <c r="D27" s="122"/>
      <c r="E27" s="76" t="s">
        <v>19</v>
      </c>
      <c r="F27" s="76"/>
      <c r="G27" s="76"/>
      <c r="H27" s="41">
        <f t="shared" ref="H27:M27" si="3">I27-1</f>
        <v>44465</v>
      </c>
      <c r="I27" s="41">
        <f t="shared" si="3"/>
        <v>44466</v>
      </c>
      <c r="J27" s="41">
        <f t="shared" si="3"/>
        <v>44467</v>
      </c>
      <c r="K27" s="41">
        <f t="shared" si="3"/>
        <v>44468</v>
      </c>
      <c r="L27" s="41">
        <f t="shared" si="3"/>
        <v>44469</v>
      </c>
      <c r="M27" s="41">
        <f t="shared" si="3"/>
        <v>44470</v>
      </c>
      <c r="N27" s="41">
        <f>N3</f>
        <v>44471</v>
      </c>
      <c r="O27" s="42" t="s">
        <v>10</v>
      </c>
      <c r="P27" s="42" t="s">
        <v>10</v>
      </c>
      <c r="S27" s="44"/>
      <c r="T27" s="44"/>
      <c r="U27" s="45"/>
    </row>
    <row r="28" spans="1:21" s="43" customFormat="1" ht="20.100000000000001" hidden="1" customHeight="1">
      <c r="A28" s="40"/>
      <c r="B28" s="85"/>
      <c r="C28" s="122"/>
      <c r="D28" s="122"/>
      <c r="E28" s="76"/>
      <c r="F28" s="76"/>
      <c r="G28" s="76"/>
      <c r="H28" s="46" t="s">
        <v>3</v>
      </c>
      <c r="I28" s="46" t="s">
        <v>4</v>
      </c>
      <c r="J28" s="46" t="s">
        <v>5</v>
      </c>
      <c r="K28" s="46" t="s">
        <v>6</v>
      </c>
      <c r="L28" s="46" t="s">
        <v>7</v>
      </c>
      <c r="M28" s="46" t="s">
        <v>8</v>
      </c>
      <c r="N28" s="46" t="s">
        <v>9</v>
      </c>
      <c r="O28" s="42" t="s">
        <v>25</v>
      </c>
      <c r="P28" s="42" t="s">
        <v>26</v>
      </c>
      <c r="S28" s="44"/>
      <c r="T28" s="44"/>
      <c r="U28" s="45"/>
    </row>
    <row r="29" spans="1:21" s="25" customFormat="1" ht="15" hidden="1" customHeight="1">
      <c r="A29" s="14"/>
      <c r="B29" s="47"/>
      <c r="C29" s="75"/>
      <c r="D29" s="75"/>
      <c r="E29" s="75"/>
      <c r="F29" s="75"/>
      <c r="G29" s="75"/>
      <c r="H29" s="48"/>
      <c r="I29" s="48"/>
      <c r="J29" s="48"/>
      <c r="K29" s="48"/>
      <c r="L29" s="48"/>
      <c r="M29" s="48"/>
      <c r="N29" s="48"/>
      <c r="O29" s="33">
        <f t="shared" ref="O29:O37" si="4">SUM(H29:N29)</f>
        <v>0</v>
      </c>
      <c r="P29" s="49">
        <f t="shared" ref="P29:P36" si="5">SUM(O29*0.5)</f>
        <v>0</v>
      </c>
      <c r="S29" s="26"/>
      <c r="T29" s="26"/>
      <c r="U29" s="27"/>
    </row>
    <row r="30" spans="1:21" s="25" customFormat="1" ht="15" hidden="1" customHeight="1">
      <c r="A30" s="14"/>
      <c r="B30" s="47"/>
      <c r="C30" s="75"/>
      <c r="D30" s="75"/>
      <c r="E30" s="75"/>
      <c r="F30" s="75"/>
      <c r="G30" s="75"/>
      <c r="H30" s="48"/>
      <c r="I30" s="48"/>
      <c r="J30" s="48"/>
      <c r="K30" s="48"/>
      <c r="L30" s="48"/>
      <c r="M30" s="48"/>
      <c r="N30" s="48"/>
      <c r="O30" s="33">
        <f t="shared" si="4"/>
        <v>0</v>
      </c>
      <c r="P30" s="49">
        <f t="shared" si="5"/>
        <v>0</v>
      </c>
      <c r="S30" s="26"/>
      <c r="T30" s="26"/>
      <c r="U30" s="27"/>
    </row>
    <row r="31" spans="1:21" s="25" customFormat="1" ht="15" hidden="1" customHeight="1">
      <c r="A31" s="14"/>
      <c r="B31" s="47"/>
      <c r="C31" s="75"/>
      <c r="D31" s="75"/>
      <c r="E31" s="75"/>
      <c r="F31" s="75"/>
      <c r="G31" s="75"/>
      <c r="H31" s="48"/>
      <c r="I31" s="48"/>
      <c r="J31" s="48"/>
      <c r="K31" s="48"/>
      <c r="L31" s="48"/>
      <c r="M31" s="48"/>
      <c r="N31" s="48"/>
      <c r="O31" s="33">
        <f t="shared" si="4"/>
        <v>0</v>
      </c>
      <c r="P31" s="49">
        <f t="shared" si="5"/>
        <v>0</v>
      </c>
      <c r="S31" s="26"/>
      <c r="T31" s="26"/>
      <c r="U31" s="27"/>
    </row>
    <row r="32" spans="1:21" s="25" customFormat="1" ht="15" hidden="1" customHeight="1">
      <c r="A32" s="14"/>
      <c r="B32" s="47"/>
      <c r="C32" s="75"/>
      <c r="D32" s="75"/>
      <c r="E32" s="75"/>
      <c r="F32" s="75"/>
      <c r="G32" s="75"/>
      <c r="H32" s="48"/>
      <c r="I32" s="48"/>
      <c r="J32" s="48"/>
      <c r="K32" s="48"/>
      <c r="L32" s="48"/>
      <c r="M32" s="48"/>
      <c r="N32" s="48"/>
      <c r="O32" s="33">
        <f t="shared" si="4"/>
        <v>0</v>
      </c>
      <c r="P32" s="49">
        <f t="shared" si="5"/>
        <v>0</v>
      </c>
      <c r="S32" s="26"/>
      <c r="T32" s="26"/>
      <c r="U32" s="27"/>
    </row>
    <row r="33" spans="1:21" s="25" customFormat="1" ht="15" hidden="1" customHeight="1">
      <c r="A33" s="14"/>
      <c r="B33" s="47"/>
      <c r="C33" s="75"/>
      <c r="D33" s="75"/>
      <c r="E33" s="75"/>
      <c r="F33" s="75"/>
      <c r="G33" s="75"/>
      <c r="H33" s="48"/>
      <c r="I33" s="48"/>
      <c r="J33" s="48"/>
      <c r="K33" s="48"/>
      <c r="L33" s="48"/>
      <c r="M33" s="48"/>
      <c r="N33" s="48"/>
      <c r="O33" s="33">
        <f t="shared" si="4"/>
        <v>0</v>
      </c>
      <c r="P33" s="49">
        <f t="shared" si="5"/>
        <v>0</v>
      </c>
      <c r="S33" s="26"/>
      <c r="T33" s="26"/>
      <c r="U33" s="27"/>
    </row>
    <row r="34" spans="1:21" s="25" customFormat="1" ht="15" hidden="1" customHeight="1">
      <c r="A34" s="14"/>
      <c r="B34" s="47"/>
      <c r="C34" s="75"/>
      <c r="D34" s="75"/>
      <c r="E34" s="75"/>
      <c r="F34" s="75"/>
      <c r="G34" s="75"/>
      <c r="H34" s="48"/>
      <c r="I34" s="48"/>
      <c r="J34" s="48"/>
      <c r="K34" s="48"/>
      <c r="L34" s="48"/>
      <c r="M34" s="48"/>
      <c r="N34" s="48"/>
      <c r="O34" s="33">
        <f t="shared" si="4"/>
        <v>0</v>
      </c>
      <c r="P34" s="49">
        <f t="shared" si="5"/>
        <v>0</v>
      </c>
      <c r="S34" s="26"/>
      <c r="T34" s="26"/>
      <c r="U34" s="27"/>
    </row>
    <row r="35" spans="1:21" s="25" customFormat="1" ht="15" hidden="1" customHeight="1">
      <c r="A35" s="14"/>
      <c r="B35" s="47"/>
      <c r="C35" s="75"/>
      <c r="D35" s="75"/>
      <c r="E35" s="75"/>
      <c r="F35" s="75"/>
      <c r="G35" s="75"/>
      <c r="H35" s="48"/>
      <c r="I35" s="48"/>
      <c r="J35" s="48"/>
      <c r="K35" s="48"/>
      <c r="L35" s="48"/>
      <c r="M35" s="48"/>
      <c r="N35" s="48"/>
      <c r="O35" s="33">
        <f t="shared" si="4"/>
        <v>0</v>
      </c>
      <c r="P35" s="49">
        <f t="shared" si="5"/>
        <v>0</v>
      </c>
      <c r="S35" s="26"/>
      <c r="T35" s="26"/>
      <c r="U35" s="27"/>
    </row>
    <row r="36" spans="1:21" s="25" customFormat="1" ht="15" hidden="1" customHeight="1">
      <c r="A36" s="14"/>
      <c r="B36" s="47"/>
      <c r="C36" s="75"/>
      <c r="D36" s="75"/>
      <c r="E36" s="75"/>
      <c r="F36" s="75"/>
      <c r="G36" s="75"/>
      <c r="H36" s="48"/>
      <c r="I36" s="48"/>
      <c r="J36" s="48"/>
      <c r="K36" s="48"/>
      <c r="L36" s="48"/>
      <c r="M36" s="48"/>
      <c r="N36" s="48"/>
      <c r="O36" s="33">
        <f t="shared" si="4"/>
        <v>0</v>
      </c>
      <c r="P36" s="49">
        <f t="shared" si="5"/>
        <v>0</v>
      </c>
      <c r="S36" s="26"/>
      <c r="T36" s="26"/>
      <c r="U36" s="27"/>
    </row>
    <row r="37" spans="1:21" s="25" customFormat="1" ht="15" hidden="1" customHeight="1">
      <c r="A37" s="14"/>
      <c r="B37" s="81" t="s">
        <v>20</v>
      </c>
      <c r="C37" s="81"/>
      <c r="D37" s="81"/>
      <c r="E37" s="81"/>
      <c r="F37" s="81"/>
      <c r="G37" s="81"/>
      <c r="H37" s="33">
        <f t="shared" ref="H37:N37" si="6">SUM(H29:H36)</f>
        <v>0</v>
      </c>
      <c r="I37" s="33">
        <f t="shared" si="6"/>
        <v>0</v>
      </c>
      <c r="J37" s="33">
        <f t="shared" si="6"/>
        <v>0</v>
      </c>
      <c r="K37" s="33">
        <f t="shared" si="6"/>
        <v>0</v>
      </c>
      <c r="L37" s="33">
        <f t="shared" si="6"/>
        <v>0</v>
      </c>
      <c r="M37" s="33">
        <f>SUM(M29:M36)</f>
        <v>0</v>
      </c>
      <c r="N37" s="33">
        <f t="shared" si="6"/>
        <v>0</v>
      </c>
      <c r="O37" s="33">
        <f t="shared" si="4"/>
        <v>0</v>
      </c>
      <c r="P37" s="50"/>
      <c r="S37" s="51"/>
    </row>
    <row r="38" spans="1:21" s="25" customFormat="1" ht="15" hidden="1" customHeight="1">
      <c r="A38" s="14"/>
      <c r="B38" s="81" t="s">
        <v>21</v>
      </c>
      <c r="C38" s="81"/>
      <c r="D38" s="81"/>
      <c r="E38" s="81"/>
      <c r="F38" s="81"/>
      <c r="G38" s="81"/>
      <c r="H38" s="49">
        <f t="shared" ref="H38:N38" si="7">SUM(H37*0.5)</f>
        <v>0</v>
      </c>
      <c r="I38" s="49">
        <f t="shared" si="7"/>
        <v>0</v>
      </c>
      <c r="J38" s="49">
        <f t="shared" si="7"/>
        <v>0</v>
      </c>
      <c r="K38" s="49">
        <f t="shared" si="7"/>
        <v>0</v>
      </c>
      <c r="L38" s="49">
        <f t="shared" si="7"/>
        <v>0</v>
      </c>
      <c r="M38" s="49">
        <f t="shared" si="7"/>
        <v>0</v>
      </c>
      <c r="N38" s="49">
        <f t="shared" si="7"/>
        <v>0</v>
      </c>
      <c r="O38" s="50"/>
      <c r="P38" s="49">
        <f>SUM(P29:P37)</f>
        <v>0</v>
      </c>
      <c r="S38" s="51"/>
    </row>
    <row r="39" spans="1:21" ht="15" hidden="1" customHeight="1">
      <c r="B39" s="18"/>
      <c r="M39" s="52"/>
      <c r="Q39" s="9"/>
      <c r="R39" s="9"/>
      <c r="S39" s="9"/>
    </row>
    <row r="40" spans="1:21" s="25" customFormat="1" ht="17.100000000000001" customHeight="1">
      <c r="B40" s="82" t="s">
        <v>28</v>
      </c>
      <c r="C40" s="83"/>
      <c r="D40" s="83"/>
      <c r="E40" s="83"/>
      <c r="F40" s="83"/>
      <c r="G40" s="84"/>
      <c r="H40" s="83" t="s">
        <v>43</v>
      </c>
      <c r="I40" s="83"/>
      <c r="J40" s="83"/>
      <c r="K40" s="83"/>
      <c r="L40" s="83"/>
      <c r="M40" s="83"/>
      <c r="N40" s="83"/>
      <c r="O40" s="83"/>
      <c r="P40" s="84"/>
    </row>
    <row r="41" spans="1:21" ht="15" customHeight="1">
      <c r="B41" s="53" t="s">
        <v>22</v>
      </c>
      <c r="C41" s="77" t="s">
        <v>46</v>
      </c>
      <c r="D41" s="78"/>
      <c r="E41" s="78"/>
      <c r="F41" s="71"/>
      <c r="G41" s="54"/>
      <c r="H41" s="91"/>
      <c r="I41" s="92"/>
      <c r="J41" s="92"/>
      <c r="K41" s="92"/>
      <c r="L41" s="92"/>
      <c r="M41" s="92"/>
      <c r="N41" s="92"/>
      <c r="O41" s="92"/>
      <c r="P41" s="55"/>
      <c r="Q41" s="9"/>
      <c r="R41" s="9"/>
      <c r="S41" s="9"/>
    </row>
    <row r="42" spans="1:21" ht="23.25" hidden="1" customHeight="1">
      <c r="B42" s="56"/>
      <c r="C42" s="57"/>
      <c r="D42" s="58"/>
      <c r="E42" s="58"/>
      <c r="F42" s="58"/>
      <c r="G42" s="59"/>
      <c r="H42" s="60"/>
      <c r="I42" s="61"/>
      <c r="J42" s="61"/>
      <c r="K42" s="61"/>
      <c r="L42" s="61"/>
      <c r="M42" s="61"/>
      <c r="N42" s="61"/>
      <c r="O42" s="61"/>
      <c r="P42" s="62"/>
      <c r="Q42" s="9"/>
      <c r="R42" s="9"/>
      <c r="S42" s="9"/>
    </row>
    <row r="43" spans="1:21" s="2" customFormat="1" ht="15" customHeight="1">
      <c r="B43" s="63">
        <v>1010</v>
      </c>
      <c r="C43" s="79" t="s">
        <v>29</v>
      </c>
      <c r="D43" s="79"/>
      <c r="E43" s="79"/>
      <c r="F43" s="79"/>
      <c r="G43" s="80"/>
      <c r="H43" s="93" t="s">
        <v>23</v>
      </c>
      <c r="I43" s="79"/>
      <c r="J43" s="79"/>
      <c r="K43" s="79"/>
      <c r="L43" s="79"/>
      <c r="M43" s="79"/>
      <c r="N43" s="79"/>
      <c r="O43" s="94"/>
      <c r="P43" s="64"/>
    </row>
    <row r="44" spans="1:21" ht="15" customHeight="1">
      <c r="B44" s="63" t="s">
        <v>30</v>
      </c>
      <c r="C44" s="79" t="s">
        <v>31</v>
      </c>
      <c r="D44" s="79"/>
      <c r="E44" s="79"/>
      <c r="F44" s="79"/>
      <c r="G44" s="80"/>
      <c r="H44" s="99"/>
      <c r="I44" s="100"/>
      <c r="J44" s="100"/>
      <c r="K44" s="100"/>
      <c r="L44" s="100"/>
      <c r="M44" s="100"/>
      <c r="N44" s="100"/>
      <c r="O44" s="100"/>
      <c r="P44" s="65"/>
      <c r="Q44" s="9"/>
      <c r="R44" s="9"/>
      <c r="S44" s="9"/>
    </row>
    <row r="45" spans="1:21" ht="15" customHeight="1">
      <c r="B45" s="63" t="s">
        <v>32</v>
      </c>
      <c r="C45" s="79" t="s">
        <v>35</v>
      </c>
      <c r="D45" s="79"/>
      <c r="E45" s="79"/>
      <c r="F45" s="79"/>
      <c r="G45" s="80"/>
      <c r="H45" s="99"/>
      <c r="I45" s="100"/>
      <c r="J45" s="100"/>
      <c r="K45" s="100"/>
      <c r="L45" s="100"/>
      <c r="M45" s="100"/>
      <c r="N45" s="100"/>
      <c r="O45" s="100"/>
      <c r="P45" s="65"/>
      <c r="Q45" s="9"/>
      <c r="R45" s="9"/>
      <c r="S45" s="9"/>
    </row>
    <row r="46" spans="1:21" ht="15" customHeight="1">
      <c r="B46" s="63" t="s">
        <v>44</v>
      </c>
      <c r="C46" s="79" t="s">
        <v>33</v>
      </c>
      <c r="D46" s="79"/>
      <c r="E46" s="79"/>
      <c r="F46" s="79"/>
      <c r="G46" s="80"/>
      <c r="H46" s="99"/>
      <c r="I46" s="100"/>
      <c r="J46" s="100"/>
      <c r="K46" s="100"/>
      <c r="L46" s="100"/>
      <c r="M46" s="100"/>
      <c r="N46" s="100"/>
      <c r="O46" s="100"/>
      <c r="P46" s="65"/>
      <c r="Q46" s="9"/>
      <c r="R46" s="9"/>
      <c r="S46" s="9"/>
    </row>
    <row r="47" spans="1:21" ht="15" customHeight="1">
      <c r="B47" s="63" t="s">
        <v>45</v>
      </c>
      <c r="C47" s="79" t="s">
        <v>34</v>
      </c>
      <c r="D47" s="79"/>
      <c r="E47" s="79"/>
      <c r="F47" s="79"/>
      <c r="G47" s="80"/>
      <c r="H47" s="99"/>
      <c r="I47" s="100"/>
      <c r="J47" s="100"/>
      <c r="K47" s="100"/>
      <c r="L47" s="100"/>
      <c r="M47" s="100"/>
      <c r="N47" s="100"/>
      <c r="O47" s="100"/>
      <c r="P47" s="65"/>
      <c r="Q47" s="9"/>
      <c r="R47" s="9"/>
      <c r="S47" s="9"/>
    </row>
    <row r="48" spans="1:21" ht="15" customHeight="1">
      <c r="B48" s="63" t="s">
        <v>36</v>
      </c>
      <c r="C48" s="79" t="s">
        <v>37</v>
      </c>
      <c r="D48" s="79"/>
      <c r="E48" s="79"/>
      <c r="F48" s="79"/>
      <c r="G48" s="80"/>
      <c r="H48" s="99"/>
      <c r="I48" s="100"/>
      <c r="J48" s="100"/>
      <c r="K48" s="100"/>
      <c r="L48" s="100"/>
      <c r="M48" s="100"/>
      <c r="N48" s="100"/>
      <c r="O48" s="100"/>
      <c r="P48" s="65"/>
      <c r="Q48" s="9"/>
      <c r="R48" s="9"/>
      <c r="S48" s="9"/>
    </row>
    <row r="49" spans="2:19" s="2" customFormat="1" ht="15" customHeight="1">
      <c r="B49" s="63" t="s">
        <v>38</v>
      </c>
      <c r="C49" s="79" t="s">
        <v>39</v>
      </c>
      <c r="D49" s="79"/>
      <c r="E49" s="79"/>
      <c r="F49" s="79"/>
      <c r="G49" s="80"/>
      <c r="H49" s="101"/>
      <c r="I49" s="102"/>
      <c r="J49" s="102"/>
      <c r="K49" s="102"/>
      <c r="L49" s="102"/>
      <c r="M49" s="102"/>
      <c r="N49" s="102"/>
      <c r="O49" s="102"/>
      <c r="P49" s="65"/>
    </row>
    <row r="50" spans="2:19" ht="15" customHeight="1">
      <c r="B50" s="63" t="s">
        <v>40</v>
      </c>
      <c r="C50" s="79" t="s">
        <v>47</v>
      </c>
      <c r="D50" s="79"/>
      <c r="E50" s="79"/>
      <c r="F50" s="79"/>
      <c r="G50" s="80"/>
      <c r="H50" s="103" t="s">
        <v>24</v>
      </c>
      <c r="I50" s="104"/>
      <c r="J50" s="104"/>
      <c r="K50" s="104"/>
      <c r="L50" s="104"/>
      <c r="M50" s="104"/>
      <c r="N50" s="104"/>
      <c r="O50" s="104"/>
      <c r="P50" s="15"/>
      <c r="Q50" s="9"/>
      <c r="R50" s="9"/>
      <c r="S50" s="9"/>
    </row>
    <row r="51" spans="2:19" ht="15" customHeight="1">
      <c r="B51" s="63" t="s">
        <v>41</v>
      </c>
      <c r="C51" s="79" t="s">
        <v>42</v>
      </c>
      <c r="D51" s="79"/>
      <c r="E51" s="79"/>
      <c r="F51" s="79"/>
      <c r="G51" s="80"/>
      <c r="H51" s="105"/>
      <c r="I51" s="106"/>
      <c r="J51" s="106"/>
      <c r="K51" s="106"/>
      <c r="L51" s="106"/>
      <c r="M51" s="106"/>
      <c r="N51" s="106"/>
      <c r="O51" s="106"/>
      <c r="P51" s="65"/>
      <c r="Q51" s="9"/>
      <c r="R51" s="9"/>
      <c r="S51" s="9"/>
    </row>
    <row r="52" spans="2:19" ht="15" customHeight="1">
      <c r="B52" s="63">
        <v>1910</v>
      </c>
      <c r="C52" s="79" t="s">
        <v>50</v>
      </c>
      <c r="D52" s="79"/>
      <c r="E52" s="79"/>
      <c r="F52" s="79"/>
      <c r="G52" s="80"/>
      <c r="H52" s="105"/>
      <c r="I52" s="106"/>
      <c r="J52" s="106"/>
      <c r="K52" s="106"/>
      <c r="L52" s="106"/>
      <c r="M52" s="106"/>
      <c r="N52" s="106"/>
      <c r="O52" s="106"/>
      <c r="P52" s="65"/>
      <c r="Q52" s="9"/>
      <c r="R52" s="9"/>
      <c r="S52" s="9"/>
    </row>
    <row r="53" spans="2:19" ht="15" customHeight="1">
      <c r="B53" s="63">
        <v>5090</v>
      </c>
      <c r="C53" s="79" t="s">
        <v>56</v>
      </c>
      <c r="D53" s="79"/>
      <c r="E53" s="79"/>
      <c r="F53" s="79"/>
      <c r="G53" s="80"/>
      <c r="H53" s="105"/>
      <c r="I53" s="106"/>
      <c r="J53" s="106"/>
      <c r="K53" s="106"/>
      <c r="L53" s="106"/>
      <c r="M53" s="106"/>
      <c r="N53" s="106"/>
      <c r="O53" s="106"/>
      <c r="P53" s="65"/>
      <c r="Q53" s="9"/>
      <c r="R53" s="9"/>
      <c r="S53" s="9"/>
    </row>
    <row r="54" spans="2:19" ht="15" customHeight="1">
      <c r="B54" s="70">
        <v>6000</v>
      </c>
      <c r="C54" s="79" t="s">
        <v>53</v>
      </c>
      <c r="D54" s="79"/>
      <c r="E54" s="79"/>
      <c r="F54" s="79"/>
      <c r="G54" s="80"/>
      <c r="H54" s="105"/>
      <c r="I54" s="106"/>
      <c r="J54" s="106"/>
      <c r="K54" s="106"/>
      <c r="L54" s="106"/>
      <c r="M54" s="106"/>
      <c r="N54" s="106"/>
      <c r="O54" s="106"/>
      <c r="P54" s="65"/>
      <c r="Q54" s="9"/>
      <c r="R54" s="9"/>
      <c r="S54" s="9"/>
    </row>
    <row r="55" spans="2:19" ht="15" customHeight="1">
      <c r="B55" s="63" t="s">
        <v>52</v>
      </c>
      <c r="C55" s="79" t="s">
        <v>54</v>
      </c>
      <c r="D55" s="79"/>
      <c r="E55" s="79"/>
      <c r="F55" s="79"/>
      <c r="G55" s="80"/>
      <c r="H55" s="105"/>
      <c r="I55" s="106"/>
      <c r="J55" s="106"/>
      <c r="K55" s="106"/>
      <c r="L55" s="106"/>
      <c r="M55" s="106"/>
      <c r="N55" s="106"/>
      <c r="O55" s="106"/>
      <c r="P55" s="65"/>
      <c r="Q55" s="9"/>
      <c r="R55" s="9"/>
      <c r="S55" s="9"/>
    </row>
    <row r="56" spans="2:19" ht="15" customHeight="1">
      <c r="B56" s="67" t="s">
        <v>51</v>
      </c>
      <c r="C56" s="97" t="s">
        <v>55</v>
      </c>
      <c r="D56" s="97"/>
      <c r="E56" s="97"/>
      <c r="F56" s="97"/>
      <c r="G56" s="98"/>
      <c r="H56" s="107"/>
      <c r="I56" s="108"/>
      <c r="J56" s="108"/>
      <c r="K56" s="108"/>
      <c r="L56" s="108"/>
      <c r="M56" s="108"/>
      <c r="N56" s="108"/>
      <c r="O56" s="108"/>
      <c r="P56" s="66"/>
      <c r="Q56" s="9"/>
      <c r="R56" s="9"/>
      <c r="S56" s="9"/>
    </row>
    <row r="57" spans="2:19" ht="64.900000000000006" customHeight="1">
      <c r="B57" s="95" t="s">
        <v>61</v>
      </c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68" t="s">
        <v>60</v>
      </c>
      <c r="Q57" s="9"/>
      <c r="R57" s="9"/>
      <c r="S57" s="9"/>
    </row>
    <row r="58" spans="2:19">
      <c r="B58" s="9"/>
      <c r="C58" s="9"/>
      <c r="D58" s="9"/>
      <c r="O58" s="10"/>
      <c r="P58" s="10"/>
    </row>
    <row r="59" spans="2:19">
      <c r="B59" s="9"/>
      <c r="C59" s="9"/>
      <c r="D59" s="9"/>
      <c r="O59" s="10"/>
      <c r="P59" s="10"/>
    </row>
  </sheetData>
  <sheetProtection algorithmName="SHA-512" hashValue="jnbOmGyE4BcJWtUDpNeNp66LwgvUMwigWDUQ88DolkMopKBQPvStIayXWktT3MftXJw/qbZtDw80DfRKXiwyTA==" saltValue="n75jtDKuMMpuUWUaq52eCg==" spinCount="100000" sheet="1" objects="1" scenarios="1"/>
  <mergeCells count="107">
    <mergeCell ref="F4:F5"/>
    <mergeCell ref="G4:G5"/>
    <mergeCell ref="E4:E5"/>
    <mergeCell ref="N2:P2"/>
    <mergeCell ref="K2:M2"/>
    <mergeCell ref="K3:M3"/>
    <mergeCell ref="C36:D36"/>
    <mergeCell ref="E36:G36"/>
    <mergeCell ref="C34:D34"/>
    <mergeCell ref="E34:G34"/>
    <mergeCell ref="C35:D35"/>
    <mergeCell ref="E35:G35"/>
    <mergeCell ref="C32:D32"/>
    <mergeCell ref="B3:G3"/>
    <mergeCell ref="H3:J3"/>
    <mergeCell ref="B4:D5"/>
    <mergeCell ref="G6:G7"/>
    <mergeCell ref="B12:D13"/>
    <mergeCell ref="E12:E13"/>
    <mergeCell ref="G12:G13"/>
    <mergeCell ref="B6:D7"/>
    <mergeCell ref="E6:E7"/>
    <mergeCell ref="B8:D9"/>
    <mergeCell ref="E8:E9"/>
    <mergeCell ref="G8:G9"/>
    <mergeCell ref="B10:D11"/>
    <mergeCell ref="E10:E11"/>
    <mergeCell ref="G10:G11"/>
    <mergeCell ref="F6:F7"/>
    <mergeCell ref="F8:F9"/>
    <mergeCell ref="F10:F11"/>
    <mergeCell ref="F12:F13"/>
    <mergeCell ref="B18:D19"/>
    <mergeCell ref="E18:E19"/>
    <mergeCell ref="G18:G19"/>
    <mergeCell ref="B26:G26"/>
    <mergeCell ref="C27:D28"/>
    <mergeCell ref="F18:F19"/>
    <mergeCell ref="F20:F21"/>
    <mergeCell ref="G16:G17"/>
    <mergeCell ref="E14:E15"/>
    <mergeCell ref="B14:D15"/>
    <mergeCell ref="G14:G15"/>
    <mergeCell ref="B16:D17"/>
    <mergeCell ref="E16:E17"/>
    <mergeCell ref="F14:F15"/>
    <mergeCell ref="F16:F17"/>
    <mergeCell ref="B20:D21"/>
    <mergeCell ref="E20:E21"/>
    <mergeCell ref="G20:G21"/>
    <mergeCell ref="O4:P4"/>
    <mergeCell ref="N3:P3"/>
    <mergeCell ref="O17:P17"/>
    <mergeCell ref="O15:P15"/>
    <mergeCell ref="O16:P16"/>
    <mergeCell ref="O14:P14"/>
    <mergeCell ref="O8:P8"/>
    <mergeCell ref="O9:P9"/>
    <mergeCell ref="O10:P10"/>
    <mergeCell ref="O11:P11"/>
    <mergeCell ref="O12:P12"/>
    <mergeCell ref="O13:P13"/>
    <mergeCell ref="O6:P6"/>
    <mergeCell ref="O7:P7"/>
    <mergeCell ref="O5:P5"/>
    <mergeCell ref="B57:O57"/>
    <mergeCell ref="C56:G56"/>
    <mergeCell ref="C52:G52"/>
    <mergeCell ref="C55:G55"/>
    <mergeCell ref="C54:G54"/>
    <mergeCell ref="C53:G53"/>
    <mergeCell ref="H44:O49"/>
    <mergeCell ref="H50:O50"/>
    <mergeCell ref="H51:O56"/>
    <mergeCell ref="C49:G49"/>
    <mergeCell ref="C50:G50"/>
    <mergeCell ref="C51:G51"/>
    <mergeCell ref="O18:P18"/>
    <mergeCell ref="O19:P19"/>
    <mergeCell ref="H40:P40"/>
    <mergeCell ref="O23:P23"/>
    <mergeCell ref="O22:P22"/>
    <mergeCell ref="O21:P21"/>
    <mergeCell ref="O20:P20"/>
    <mergeCell ref="H41:O41"/>
    <mergeCell ref="H43:O43"/>
    <mergeCell ref="C30:D30"/>
    <mergeCell ref="E30:G30"/>
    <mergeCell ref="E31:G31"/>
    <mergeCell ref="C29:D29"/>
    <mergeCell ref="E29:G29"/>
    <mergeCell ref="E27:G28"/>
    <mergeCell ref="C41:E41"/>
    <mergeCell ref="C43:G43"/>
    <mergeCell ref="C48:G48"/>
    <mergeCell ref="C44:G44"/>
    <mergeCell ref="C45:G45"/>
    <mergeCell ref="C46:G46"/>
    <mergeCell ref="C47:G47"/>
    <mergeCell ref="C31:D31"/>
    <mergeCell ref="E32:G32"/>
    <mergeCell ref="C33:D33"/>
    <mergeCell ref="E33:G33"/>
    <mergeCell ref="B37:G37"/>
    <mergeCell ref="B38:G38"/>
    <mergeCell ref="B40:G40"/>
    <mergeCell ref="B27:B28"/>
  </mergeCells>
  <phoneticPr fontId="0" type="noConversion"/>
  <dataValidations count="1">
    <dataValidation type="list" allowBlank="1" showInputMessage="1" showErrorMessage="1" promptTitle="Selection Required" prompt="Enter the sub-code from the drop-down list." sqref="E8:E21" xr:uid="{00000000-0002-0000-0000-000000000000}">
      <formula1>SubCodeEntry</formula1>
    </dataValidation>
  </dataValidations>
  <printOptions horizontalCentered="1" verticalCentered="1"/>
  <pageMargins left="0.7" right="0.7" top="0.75" bottom="0.75" header="0.3" footer="0.3"/>
  <pageSetup scale="66" orientation="portrait" r:id="rId1"/>
  <headerFooter alignWithMargins="0">
    <oddFooter xml:space="preserve">&amp;RRev. 07/30/2015 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14"/>
  <sheetViews>
    <sheetView zoomScaleNormal="100" workbookViewId="0"/>
  </sheetViews>
  <sheetFormatPr defaultRowHeight="12.75"/>
  <cols>
    <col min="1" max="1" width="14.7109375" bestFit="1" customWidth="1"/>
  </cols>
  <sheetData>
    <row r="1" spans="1:1" ht="20.25">
      <c r="A1" s="1">
        <v>1010</v>
      </c>
    </row>
    <row r="2" spans="1:1" ht="20.25">
      <c r="A2" s="1">
        <v>1110</v>
      </c>
    </row>
    <row r="3" spans="1:1" ht="20.25">
      <c r="A3" s="1">
        <v>1210</v>
      </c>
    </row>
    <row r="4" spans="1:1" ht="20.25">
      <c r="A4" s="1">
        <v>1310</v>
      </c>
    </row>
    <row r="5" spans="1:1" ht="20.25">
      <c r="A5" s="1">
        <v>1410</v>
      </c>
    </row>
    <row r="6" spans="1:1" ht="20.25">
      <c r="A6" s="1">
        <v>1510</v>
      </c>
    </row>
    <row r="7" spans="1:1" ht="20.25">
      <c r="A7" s="1">
        <v>1610</v>
      </c>
    </row>
    <row r="8" spans="1:1" ht="20.25">
      <c r="A8" s="1">
        <v>1710</v>
      </c>
    </row>
    <row r="9" spans="1:1" ht="20.25">
      <c r="A9" s="1">
        <v>1810</v>
      </c>
    </row>
    <row r="10" spans="1:1" ht="20.25">
      <c r="A10" s="1">
        <v>1910</v>
      </c>
    </row>
    <row r="11" spans="1:1" ht="20.25">
      <c r="A11" s="1">
        <v>5090</v>
      </c>
    </row>
    <row r="12" spans="1:1" ht="20.25">
      <c r="A12" s="69">
        <v>6000</v>
      </c>
    </row>
    <row r="13" spans="1:1" ht="20.25">
      <c r="A13" s="1" t="s">
        <v>52</v>
      </c>
    </row>
    <row r="14" spans="1:1" ht="20.25">
      <c r="A14" s="1" t="s">
        <v>51</v>
      </c>
    </row>
  </sheetData>
  <sheetProtection algorithmName="SHA-512" hashValue="x8dZUOTdHjJ9eJgSj+0eG++AuvMAFD1l9rjKNK4uznBhnYr45oMSSLqbjv2IRy+eLnDWAuHOeBu5GeJim2CHcQ==" saltValue="I9JM/a3z/f8JGJ6g4bXKdQ==" spinCount="100000"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21-11-21</vt:lpstr>
      <vt:lpstr>Sheet1</vt:lpstr>
      <vt:lpstr>'21-11-21'!Print_Area</vt:lpstr>
      <vt:lpstr>SubCodeEntry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Chuck Prohaska</dc:creator>
  <cp:lastModifiedBy>Brian LaFond</cp:lastModifiedBy>
  <cp:lastPrinted>2018-10-09T19:20:45Z</cp:lastPrinted>
  <dcterms:created xsi:type="dcterms:W3CDTF">2003-12-31T13:26:20Z</dcterms:created>
  <dcterms:modified xsi:type="dcterms:W3CDTF">2022-10-09T16:18:59Z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-1398779661</vt:i4>
  </property>
  <property fmtid="{D5CDD505-2E9C-101B-9397-08002B2CF9AE}" pid="3" name="_EmailSubject">
    <vt:lpwstr>Revised Timesheet</vt:lpwstr>
  </property>
  <property fmtid="{D5CDD505-2E9C-101B-9397-08002B2CF9AE}" pid="4" name="_AuthorEmail">
    <vt:lpwstr>DPalo@indicon.com</vt:lpwstr>
  </property>
  <property fmtid="{D5CDD505-2E9C-101B-9397-08002B2CF9AE}" pid="5" name="_AuthorEmailDisplayName">
    <vt:lpwstr>Palo, Darren</vt:lpwstr>
  </property>
  <property fmtid="{D5CDD505-2E9C-101B-9397-08002B2CF9AE}" pid="6" name="_PreviousAdHocReviewCycleID">
    <vt:i4>-9729792</vt:i4>
  </property>
  <property fmtid="{D5CDD505-2E9C-101B-9397-08002B2CF9AE}" pid="7" name="_ReviewingToolsShownOnce">
    <vt:lpwstr/>
  </property>
  <property fmtid="{D5CDD505-2E9C-101B-9397-08002B2CF9AE}" pid="8" name="MSIP_Label_c135c4ba-2280-41f8-be7d-6f21d368baa3_Enabled">
    <vt:lpwstr>true</vt:lpwstr>
  </property>
  <property fmtid="{D5CDD505-2E9C-101B-9397-08002B2CF9AE}" pid="9" name="MSIP_Label_c135c4ba-2280-41f8-be7d-6f21d368baa3_SetDate">
    <vt:lpwstr>2021-10-25T13:22:11Z</vt:lpwstr>
  </property>
  <property fmtid="{D5CDD505-2E9C-101B-9397-08002B2CF9AE}" pid="10" name="MSIP_Label_c135c4ba-2280-41f8-be7d-6f21d368baa3_Method">
    <vt:lpwstr>Standard</vt:lpwstr>
  </property>
  <property fmtid="{D5CDD505-2E9C-101B-9397-08002B2CF9AE}" pid="11" name="MSIP_Label_c135c4ba-2280-41f8-be7d-6f21d368baa3_Name">
    <vt:lpwstr>c135c4ba-2280-41f8-be7d-6f21d368baa3</vt:lpwstr>
  </property>
  <property fmtid="{D5CDD505-2E9C-101B-9397-08002B2CF9AE}" pid="12" name="MSIP_Label_c135c4ba-2280-41f8-be7d-6f21d368baa3_SiteId">
    <vt:lpwstr>24139d14-c62c-4c47-8bdd-ce71ea1d50cf</vt:lpwstr>
  </property>
  <property fmtid="{D5CDD505-2E9C-101B-9397-08002B2CF9AE}" pid="13" name="MSIP_Label_c135c4ba-2280-41f8-be7d-6f21d368baa3_ActionId">
    <vt:lpwstr>51b29fc5-915c-4cfd-ae78-83cbcc5c17c8</vt:lpwstr>
  </property>
  <property fmtid="{D5CDD505-2E9C-101B-9397-08002B2CF9AE}" pid="14" name="MSIP_Label_c135c4ba-2280-41f8-be7d-6f21d368baa3_ContentBits">
    <vt:lpwstr>0</vt:lpwstr>
  </property>
  <property fmtid="{D5CDD505-2E9C-101B-9397-08002B2CF9AE}" pid="15" name="MSIP_Label_64a238cc-6af3-4341-9d32-201b7e04331f_Enabled">
    <vt:lpwstr>true</vt:lpwstr>
  </property>
  <property fmtid="{D5CDD505-2E9C-101B-9397-08002B2CF9AE}" pid="16" name="MSIP_Label_64a238cc-6af3-4341-9d32-201b7e04331f_SetDate">
    <vt:lpwstr>2022-09-06T19:17:15Z</vt:lpwstr>
  </property>
  <property fmtid="{D5CDD505-2E9C-101B-9397-08002B2CF9AE}" pid="17" name="MSIP_Label_64a238cc-6af3-4341-9d32-201b7e04331f_Method">
    <vt:lpwstr>Standard</vt:lpwstr>
  </property>
  <property fmtid="{D5CDD505-2E9C-101B-9397-08002B2CF9AE}" pid="18" name="MSIP_Label_64a238cc-6af3-4341-9d32-201b7e04331f_Name">
    <vt:lpwstr>Internal</vt:lpwstr>
  </property>
  <property fmtid="{D5CDD505-2E9C-101B-9397-08002B2CF9AE}" pid="19" name="MSIP_Label_64a238cc-6af3-4341-9d32-201b7e04331f_SiteId">
    <vt:lpwstr>09ebfde1-6505-4c31-942f-18875ff0189d</vt:lpwstr>
  </property>
  <property fmtid="{D5CDD505-2E9C-101B-9397-08002B2CF9AE}" pid="20" name="MSIP_Label_64a238cc-6af3-4341-9d32-201b7e04331f_ActionId">
    <vt:lpwstr>c4d6f579-a32b-4d3e-8dad-1621849ef386</vt:lpwstr>
  </property>
  <property fmtid="{D5CDD505-2E9C-101B-9397-08002B2CF9AE}" pid="21" name="MSIP_Label_64a238cc-6af3-4341-9d32-201b7e04331f_ContentBits">
    <vt:lpwstr>0</vt:lpwstr>
  </property>
</Properties>
</file>